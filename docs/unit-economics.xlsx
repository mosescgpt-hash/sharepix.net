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Unit economics" sheetId="3" state="visible" r:id="rId3"/>
    <sheet name="Break-even" sheetId="4" state="visible" r:id="rId4"/>
    <sheet name="Blend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;($#,##0);-"/>
    <numFmt numFmtId="165" formatCode="$#,##0.0000"/>
    <numFmt numFmtId="166" formatCode="$#,##0.00;($#,##0.00);-"/>
    <numFmt numFmtId="167" formatCode="0.0%"/>
    <numFmt numFmtId="168" formatCode="$#,##0.000"/>
    <numFmt numFmtId="169" formatCode="0.0x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2421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2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  <xf numFmtId="164" fontId="5" fillId="0" borderId="0" pivotButton="0" quotePrefix="0" xfId="0"/>
    <xf numFmtId="3" fontId="5" fillId="0" borderId="0" pivotButton="0" quotePrefix="0" xfId="0"/>
    <xf numFmtId="4" fontId="5" fillId="3" borderId="0" pivotButton="0" quotePrefix="0" xfId="0"/>
    <xf numFmtId="0" fontId="8" fillId="3" borderId="0" pivotButton="0" quotePrefix="0" xfId="0"/>
    <xf numFmtId="3" fontId="5" fillId="3" borderId="0" pivotButton="0" quotePrefix="0" xfId="0"/>
    <xf numFmtId="165" fontId="5" fillId="0" borderId="0" pivotButton="0" quotePrefix="0" xfId="0"/>
    <xf numFmtId="166" fontId="5" fillId="3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7" fontId="5" fillId="3" borderId="0" pivotButton="0" quotePrefix="0" xfId="0"/>
    <xf numFmtId="3" fontId="4" fillId="0" borderId="0" pivotButton="0" quotePrefix="0" xfId="0"/>
    <xf numFmtId="4" fontId="4" fillId="0" borderId="0" pivotButton="0" quotePrefix="0" xfId="0"/>
    <xf numFmtId="0" fontId="8" fillId="0" borderId="0" pivotButton="0" quotePrefix="0" xfId="0"/>
    <xf numFmtId="4" fontId="8" fillId="0" borderId="0" pivotButton="0" quotePrefix="0" xfId="0"/>
    <xf numFmtId="166" fontId="4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7" fillId="2" borderId="0" applyAlignment="1" pivotButton="0" quotePrefix="0" xfId="0">
      <alignment horizontal="center"/>
    </xf>
    <xf numFmtId="168" fontId="5" fillId="0" borderId="0" applyAlignment="1" pivotButton="0" quotePrefix="0" xfId="0">
      <alignment horizontal="center"/>
    </xf>
    <xf numFmtId="3" fontId="8" fillId="0" borderId="0" pivotButton="0" quotePrefix="0" xfId="0"/>
    <xf numFmtId="169" fontId="8" fillId="0" borderId="0" pivotButton="0" quotePrefix="0" xfId="0"/>
    <xf numFmtId="166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D6E9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9"/>
  <sheetViews>
    <sheetView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7" t="inlineStr">
        <is>
          <t>SharePix unit economics</t>
        </is>
      </c>
    </row>
    <row r="3">
      <c r="B3" s="8" t="inlineStr">
        <is>
          <t>Rebuilt September 2026 for the current lineup: one free event per account, one paid plan at $79.</t>
        </is>
      </c>
    </row>
    <row r="5">
      <c r="B5" s="31" t="inlineStr">
        <is>
          <t>This is a rebuild, not an edit</t>
        </is>
      </c>
    </row>
    <row r="6">
      <c r="B6" s="12" t="inlineStr">
        <is>
          <t>The previous model was not available to work from. Everything here was derived fresh from the</t>
        </is>
      </c>
    </row>
    <row r="7">
      <c r="B7" s="12" t="inlineStr">
        <is>
          <t>codebase and from published cloud pricing. Treat any figure you recognise from the old model as a</t>
        </is>
      </c>
    </row>
    <row r="8">
      <c r="B8" s="12" t="inlineStr">
        <is>
          <t>coincidence rather than a carried-forward value.</t>
        </is>
      </c>
    </row>
    <row r="10">
      <c r="B10" s="31" t="inlineStr">
        <is>
          <t>Why the old model could not be patched</t>
        </is>
      </c>
    </row>
    <row r="11">
      <c r="B11" s="12" t="inlineStr">
        <is>
          <t>It predates three changes that each move the answer:</t>
        </is>
      </c>
    </row>
    <row r="12">
      <c r="B12" s="12" t="inlineStr">
        <is>
          <t xml:space="preserve">   1.  Photos are now UNLIMITED on the paid plan. The old model multiplied a fixed cap by a cost</t>
        </is>
      </c>
    </row>
    <row r="13">
      <c r="B13" s="12" t="inlineStr">
        <is>
          <t xml:space="preserve">       per photo. There is no cap to multiply, so cost per event is now a distribution, not a number.</t>
        </is>
      </c>
    </row>
    <row r="14">
      <c r="B14" s="12" t="inlineStr">
        <is>
          <t xml:space="preserve">       That is why this workbook leads with a break-even grid instead of a single margin figure.</t>
        </is>
      </c>
    </row>
    <row r="15">
      <c r="B15" s="12" t="inlineStr">
        <is>
          <t xml:space="preserve">   2.  A free tier exists. Its cost is real and is carried by paid events, so the number that matters</t>
        </is>
      </c>
    </row>
    <row r="16">
      <c r="B16" s="12" t="inlineStr">
        <is>
          <t xml:space="preserve">       is blended margin per PAID event, not gross margin per event.</t>
        </is>
      </c>
    </row>
    <row r="17">
      <c r="B17" s="12" t="inlineStr">
        <is>
          <t xml:space="preserve">   3.  Retention is 60-day window + 12-month gallery + 90-day archive. Storage is held ~17 months,</t>
        </is>
      </c>
    </row>
    <row r="18">
      <c r="B18" s="12" t="inlineStr">
        <is>
          <t xml:space="preserve">       not for the length of the event. This is the single largest cost driver and the old model</t>
        </is>
      </c>
    </row>
    <row r="19">
      <c r="B19" s="12" t="inlineStr">
        <is>
          <t xml:space="preserve">       used a much shorter horizon.</t>
        </is>
      </c>
    </row>
    <row r="21">
      <c r="B21" s="31" t="inlineStr">
        <is>
          <t>Colour legend</t>
        </is>
      </c>
    </row>
    <row r="22">
      <c r="B22" s="5" t="inlineStr">
        <is>
          <t xml:space="preserve">   Blue      an input you can change. Every one of them lives on Assumptions.</t>
        </is>
      </c>
    </row>
    <row r="23">
      <c r="B23" s="12" t="inlineStr">
        <is>
          <t xml:space="preserve">   Black     a formula. Do not overwrite these.</t>
        </is>
      </c>
    </row>
    <row r="24">
      <c r="B24" s="6" t="inlineStr">
        <is>
          <t xml:space="preserve">   Green     a link to another sheet.</t>
        </is>
      </c>
    </row>
    <row r="26">
      <c r="B26" s="31" t="inlineStr">
        <is>
          <t>How much of this is real</t>
        </is>
      </c>
    </row>
    <row r="27">
      <c r="B27" s="12" t="inlineStr">
        <is>
          <t>Marked per row on Assumptions in the Confidence column.</t>
        </is>
      </c>
    </row>
    <row r="28">
      <c r="B28" s="12" t="inlineStr">
        <is>
          <t xml:space="preserve">   CODE      taken from this repository. Reliable. Changing it in the sheet does not change the</t>
        </is>
      </c>
    </row>
    <row r="29">
      <c r="B29" s="12" t="inlineStr">
        <is>
          <t xml:space="preserve">             product, and a test now fails if the two disagree.</t>
        </is>
      </c>
    </row>
    <row r="30">
      <c r="B30" s="12" t="inlineStr">
        <is>
          <t xml:space="preserve">   PUBLISHED cloud list pricing, correct at the time of writing but not fetched live. Re-check</t>
        </is>
      </c>
    </row>
    <row r="31">
      <c r="B31" s="12" t="inlineStr">
        <is>
          <t xml:space="preserve">             before making a decision that turns on the exact figure.</t>
        </is>
      </c>
    </row>
    <row r="32">
      <c r="B32" s="12" t="inlineStr">
        <is>
          <t xml:space="preserve">   ESTIMATE  a guess. These are the rows to replace with measured values first, and the ones</t>
        </is>
      </c>
    </row>
    <row r="33">
      <c r="B33" s="12" t="inlineStr">
        <is>
          <t xml:space="preserve">             most likely to be wrong. They are shaded yellow.</t>
        </is>
      </c>
    </row>
    <row r="35">
      <c r="B35" s="31" t="inlineStr">
        <is>
          <t>The finding worth reading before anything else</t>
        </is>
      </c>
    </row>
    <row r="36">
      <c r="B36" s="12" t="inlineStr">
        <is>
          <t>Every object is stored TWICE. Objects are written to S3, mirrored to Cloudflare R2, and R2 serves</t>
        </is>
      </c>
    </row>
    <row r="37">
      <c r="B37" s="12" t="inlineStr">
        <is>
          <t>all reads — but the S3 copy is never removed early. It sits until an 800-day lifecycle backstop</t>
        </is>
      </c>
    </row>
    <row r="38">
      <c r="B38" s="12" t="inlineStr">
        <is>
          <t>expires it, roughly 280 days after the event has been deleted everywhere a customer can see.</t>
        </is>
      </c>
    </row>
    <row r="39">
      <c r="B39" s="12" t="inlineStr">
        <is>
          <t>See "Dual storage" on the Unit economics sheet for what that costs and what could be done.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3" customWidth="1" min="4" max="4"/>
    <col width="62" customWidth="1" min="5" max="5"/>
  </cols>
  <sheetData>
    <row r="1">
      <c r="A1" s="7" t="inlineStr">
        <is>
          <t>Assumptions</t>
        </is>
      </c>
    </row>
    <row r="2">
      <c r="A2" s="8" t="inlineStr">
        <is>
          <t>Blue cells are inputs. Yellow shading means the value is an estimate and should be replaced with a measurement.</t>
        </is>
      </c>
    </row>
    <row r="3"/>
    <row r="4">
      <c r="A4" s="9" t="inlineStr">
        <is>
          <t>Assumption</t>
        </is>
      </c>
      <c r="B4" s="9" t="inlineStr">
        <is>
          <t>Value</t>
        </is>
      </c>
      <c r="C4" s="9" t="inlineStr">
        <is>
          <t>Unit</t>
        </is>
      </c>
      <c r="D4" s="9" t="inlineStr">
        <is>
          <t>Confidence</t>
        </is>
      </c>
      <c r="E4" s="9" t="inlineStr">
        <is>
          <t>Source / note</t>
        </is>
      </c>
    </row>
    <row r="5">
      <c r="A5" s="10" t="inlineStr">
        <is>
          <t>PRICING</t>
        </is>
      </c>
      <c r="B5" s="11" t="n"/>
      <c r="C5" s="11" t="n"/>
      <c r="D5" s="11" t="n"/>
      <c r="E5" s="11" t="n"/>
    </row>
    <row r="6">
      <c r="A6" s="12" t="inlineStr">
        <is>
          <t>Paid plan price</t>
        </is>
      </c>
      <c r="B6" s="13" t="n">
        <v>79</v>
      </c>
      <c r="C6" s="8" t="inlineStr">
        <is>
          <t>USD</t>
        </is>
      </c>
      <c r="D6" s="8" t="inlineStr">
        <is>
          <t>CODE</t>
        </is>
      </c>
      <c r="E6" s="8" t="inlineStr">
        <is>
          <t>lib/pricing.ts — tier "plus", displayed as Full Event</t>
        </is>
      </c>
    </row>
    <row r="7">
      <c r="A7" s="12" t="inlineStr">
        <is>
          <t>Free plan price</t>
        </is>
      </c>
      <c r="B7" s="13" t="n">
        <v>0</v>
      </c>
      <c r="C7" s="8" t="inlineStr">
        <is>
          <t>USD</t>
        </is>
      </c>
      <c r="D7" s="8" t="inlineStr">
        <is>
          <t>CODE</t>
        </is>
      </c>
      <c r="E7" s="8" t="inlineStr">
        <is>
          <t>lib/pricing.ts — tier "free", one per account</t>
        </is>
      </c>
    </row>
    <row r="8">
      <c r="A8" s="12" t="inlineStr">
        <is>
          <t>Upload window extension price</t>
        </is>
      </c>
      <c r="B8" s="13" t="n">
        <v>40</v>
      </c>
      <c r="C8" s="8" t="inlineStr">
        <is>
          <t>USD</t>
        </is>
      </c>
      <c r="D8" s="8" t="inlineStr">
        <is>
          <t>CODE</t>
        </is>
      </c>
      <c r="E8" s="8" t="inlineStr">
        <is>
          <t>extensionPrice() — half the plan price, rounded</t>
        </is>
      </c>
    </row>
    <row r="9">
      <c r="A9" s="10" t="inlineStr">
        <is>
          <t>PLAN LIMITS</t>
        </is>
      </c>
      <c r="B9" s="11" t="n"/>
      <c r="C9" s="11" t="n"/>
      <c r="D9" s="11" t="n"/>
      <c r="E9" s="11" t="n"/>
    </row>
    <row r="10">
      <c r="A10" s="12" t="inlineStr">
        <is>
          <t>Paid photo limit</t>
        </is>
      </c>
      <c r="B10" s="14" t="n">
        <v>0</v>
      </c>
      <c r="C10" s="8" t="inlineStr">
        <is>
          <t>photos</t>
        </is>
      </c>
      <c r="D10" s="8" t="inlineStr">
        <is>
          <t>CODE</t>
        </is>
      </c>
      <c r="E10" s="8" t="inlineStr">
        <is>
          <t>photoLimit is null = unlimited. 0 here means "no cap"; the grid below models the range</t>
        </is>
      </c>
    </row>
    <row r="11">
      <c r="A11" s="12" t="inlineStr">
        <is>
          <t>Paid video limit</t>
        </is>
      </c>
      <c r="B11" s="14" t="n">
        <v>30</v>
      </c>
      <c r="C11" s="8" t="inlineStr">
        <is>
          <t>videos</t>
        </is>
      </c>
      <c r="D11" s="8" t="inlineStr">
        <is>
          <t>CODE</t>
        </is>
      </c>
      <c r="E11" s="8" t="inlineStr">
        <is>
          <t>lib/pricing.ts</t>
        </is>
      </c>
    </row>
    <row r="12">
      <c r="A12" s="12" t="inlineStr">
        <is>
          <t>Max video file size</t>
        </is>
      </c>
      <c r="B12" s="14" t="n">
        <v>250</v>
      </c>
      <c r="C12" s="8" t="inlineStr">
        <is>
          <t>MB</t>
        </is>
      </c>
      <c r="D12" s="8" t="inlineStr">
        <is>
          <t>CODE</t>
        </is>
      </c>
      <c r="E12" s="8" t="inlineStr">
        <is>
          <t>MAX_VIDEO_SIZE_BYTES in lib/validation.ts</t>
        </is>
      </c>
    </row>
    <row r="13">
      <c r="A13" s="12" t="inlineStr">
        <is>
          <t>Free photo limit</t>
        </is>
      </c>
      <c r="B13" s="14" t="n">
        <v>50</v>
      </c>
      <c r="C13" s="8" t="inlineStr">
        <is>
          <t>photos</t>
        </is>
      </c>
      <c r="D13" s="8" t="inlineStr">
        <is>
          <t>CODE</t>
        </is>
      </c>
      <c r="E13" s="8" t="inlineStr">
        <is>
          <t>lib/pricing.ts</t>
        </is>
      </c>
    </row>
    <row r="14">
      <c r="A14" s="12" t="inlineStr">
        <is>
          <t>Free video limit</t>
        </is>
      </c>
      <c r="B14" s="14" t="n">
        <v>1</v>
      </c>
      <c r="C14" s="8" t="inlineStr">
        <is>
          <t>videos</t>
        </is>
      </c>
      <c r="D14" s="8" t="inlineStr">
        <is>
          <t>CODE</t>
        </is>
      </c>
      <c r="E14" s="8" t="inlineStr">
        <is>
          <t>lib/pricing.ts</t>
        </is>
      </c>
    </row>
    <row r="15">
      <c r="A15" s="10" t="inlineStr">
        <is>
          <t>RETENTION — the main cost driver</t>
        </is>
      </c>
      <c r="B15" s="11" t="n"/>
      <c r="C15" s="11" t="n"/>
      <c r="D15" s="11" t="n"/>
      <c r="E15" s="11" t="n"/>
    </row>
    <row r="16">
      <c r="A16" s="12" t="inlineStr">
        <is>
          <t>Upload window</t>
        </is>
      </c>
      <c r="B16" s="14" t="n">
        <v>60</v>
      </c>
      <c r="C16" s="8" t="inlineStr">
        <is>
          <t>days</t>
        </is>
      </c>
      <c r="D16" s="8" t="inlineStr">
        <is>
          <t>CODE</t>
        </is>
      </c>
      <c r="E16" s="8" t="inlineStr">
        <is>
          <t>UPLOAD_WINDOW_DAYS</t>
        </is>
      </c>
    </row>
    <row r="17">
      <c r="A17" s="12" t="inlineStr">
        <is>
          <t>Paid gallery retention</t>
        </is>
      </c>
      <c r="B17" s="14" t="n">
        <v>365</v>
      </c>
      <c r="C17" s="8" t="inlineStr">
        <is>
          <t>days</t>
        </is>
      </c>
      <c r="D17" s="8" t="inlineStr">
        <is>
          <t>CODE</t>
        </is>
      </c>
      <c r="E17" s="8" t="inlineStr">
        <is>
          <t>GALLERY_MONTHS = 12</t>
        </is>
      </c>
    </row>
    <row r="18">
      <c r="A18" s="12" t="inlineStr">
        <is>
          <t>Archive before deletion</t>
        </is>
      </c>
      <c r="B18" s="14" t="n">
        <v>90</v>
      </c>
      <c r="C18" s="8" t="inlineStr">
        <is>
          <t>days</t>
        </is>
      </c>
      <c r="D18" s="8" t="inlineStr">
        <is>
          <t>CODE</t>
        </is>
      </c>
      <c r="E18" s="8" t="inlineStr">
        <is>
          <t>ARCHIVE_DAYS</t>
        </is>
      </c>
    </row>
    <row r="19">
      <c r="A19" s="12" t="inlineStr">
        <is>
          <t>Reclaim grace margin</t>
        </is>
      </c>
      <c r="B19" s="14" t="n">
        <v>7</v>
      </c>
      <c r="C19" s="8" t="inlineStr">
        <is>
          <t>days</t>
        </is>
      </c>
      <c r="D19" s="8" t="inlineStr">
        <is>
          <t>CODE</t>
        </is>
      </c>
      <c r="E19" s="8" t="inlineStr">
        <is>
          <t>GRACE_DAYS in lib/storageReclaim.ts</t>
        </is>
      </c>
    </row>
    <row r="20">
      <c r="A20" s="12" t="inlineStr">
        <is>
          <t>Free gallery retention</t>
        </is>
      </c>
      <c r="B20" s="14" t="n">
        <v>30</v>
      </c>
      <c r="C20" s="8" t="inlineStr">
        <is>
          <t>days</t>
        </is>
      </c>
      <c r="D20" s="8" t="inlineStr">
        <is>
          <t>CODE</t>
        </is>
      </c>
      <c r="E20" s="8" t="inlineStr">
        <is>
          <t>lib/pricing.ts</t>
        </is>
      </c>
    </row>
    <row r="21">
      <c r="A21" s="12" t="inlineStr">
        <is>
          <t>S3 copy retention</t>
        </is>
      </c>
      <c r="B21" s="14" t="n">
        <v>90</v>
      </c>
      <c r="C21" s="8" t="inlineStr">
        <is>
          <t>days</t>
        </is>
      </c>
      <c r="D21" s="8" t="inlineStr">
        <is>
          <t>CODE</t>
        </is>
      </c>
      <c r="E21" s="8" t="inlineStr">
        <is>
          <t>S3_COPY_RETENTION_DAYS in amplify/backend.ts. Was 800; shortened once prints moved to R2</t>
        </is>
      </c>
    </row>
    <row r="22">
      <c r="A22" s="10" t="inlineStr">
        <is>
          <t>MEDIA SIZES</t>
        </is>
      </c>
      <c r="B22" s="11" t="n"/>
      <c r="C22" s="11" t="n"/>
      <c r="D22" s="11" t="n"/>
      <c r="E22" s="11" t="n"/>
    </row>
    <row r="23">
      <c r="A23" s="12" t="inlineStr">
        <is>
          <t>Average original photo</t>
        </is>
      </c>
      <c r="B23" s="15" t="n">
        <v>3.8</v>
      </c>
      <c r="C23" s="8" t="inlineStr">
        <is>
          <t>MB</t>
        </is>
      </c>
      <c r="D23" s="16" t="inlineStr">
        <is>
          <t>ESTIMATE</t>
        </is>
      </c>
      <c r="E23" s="8" t="inlineStr">
        <is>
          <t>Modern phone JPEG. Replace with the mean of MediaObject.bytes — the data exists</t>
        </is>
      </c>
    </row>
    <row r="24">
      <c r="A24" s="12" t="inlineStr">
        <is>
          <t>Average preview (1280px q0.68)</t>
        </is>
      </c>
      <c r="B24" s="15" t="n">
        <v>0.22</v>
      </c>
      <c r="C24" s="8" t="inlineStr">
        <is>
          <t>MB</t>
        </is>
      </c>
      <c r="D24" s="16" t="inlineStr">
        <is>
          <t>ESTIMATE</t>
        </is>
      </c>
      <c r="E24" s="8" t="inlineStr">
        <is>
          <t>Derived from PREVIEW_MAX_DIMENSION / PREVIEW_JPEG_QUALITY in lib/mediaPreview.ts</t>
        </is>
      </c>
    </row>
    <row r="25">
      <c r="A25" s="12" t="inlineStr">
        <is>
          <t>Average thumbnail (480px q0.5)</t>
        </is>
      </c>
      <c r="B25" s="15" t="n">
        <v>0.03</v>
      </c>
      <c r="C25" s="8" t="inlineStr">
        <is>
          <t>MB</t>
        </is>
      </c>
      <c r="D25" s="16" t="inlineStr">
        <is>
          <t>ESTIMATE</t>
        </is>
      </c>
      <c r="E25" s="8" t="inlineStr">
        <is>
          <t>Derived from THUMB_MAX_DIMENSION / THUMB_JPEG_QUALITY</t>
        </is>
      </c>
    </row>
    <row r="26">
      <c r="A26" s="12" t="inlineStr">
        <is>
          <t>Average video file</t>
        </is>
      </c>
      <c r="B26" s="15" t="n">
        <v>60</v>
      </c>
      <c r="C26" s="8" t="inlineStr">
        <is>
          <t>MB</t>
        </is>
      </c>
      <c r="D26" s="16" t="inlineStr">
        <is>
          <t>ESTIMATE</t>
        </is>
      </c>
      <c r="E26" s="8" t="inlineStr">
        <is>
          <t>Well under the 250 MB ceiling; most guest clips are short. Replace with measured mean</t>
        </is>
      </c>
    </row>
    <row r="27">
      <c r="A27" s="10" t="inlineStr">
        <is>
          <t>EVENT SHAPE</t>
        </is>
      </c>
      <c r="B27" s="11" t="n"/>
      <c r="C27" s="11" t="n"/>
      <c r="D27" s="11" t="n"/>
      <c r="E27" s="11" t="n"/>
    </row>
    <row r="28">
      <c r="A28" s="12" t="inlineStr">
        <is>
          <t>Photos per paid event (central case)</t>
        </is>
      </c>
      <c r="B28" s="17" t="n">
        <v>700</v>
      </c>
      <c r="C28" s="8" t="inlineStr">
        <is>
          <t>photos</t>
        </is>
      </c>
      <c r="D28" s="16" t="inlineStr">
        <is>
          <t>ESTIMATE</t>
        </is>
      </c>
      <c r="E28" s="8" t="inlineStr">
        <is>
          <t>The number this whole model is most sensitive to. Break-even sheet varies it</t>
        </is>
      </c>
    </row>
    <row r="29">
      <c r="A29" s="12" t="inlineStr">
        <is>
          <t>Videos per paid event</t>
        </is>
      </c>
      <c r="B29" s="17" t="n">
        <v>8</v>
      </c>
      <c r="C29" s="8" t="inlineStr">
        <is>
          <t>videos</t>
        </is>
      </c>
      <c r="D29" s="16" t="inlineStr">
        <is>
          <t>ESTIMATE</t>
        </is>
      </c>
      <c r="E29" s="8" t="inlineStr">
        <is>
          <t>Against a limit of 30</t>
        </is>
      </c>
    </row>
    <row r="30">
      <c r="A30" s="12" t="inlineStr">
        <is>
          <t>Photos per free event</t>
        </is>
      </c>
      <c r="B30" s="14" t="n">
        <v>50</v>
      </c>
      <c r="C30" s="8" t="inlineStr">
        <is>
          <t>photos</t>
        </is>
      </c>
      <c r="D30" s="8" t="inlineStr">
        <is>
          <t>CODE</t>
        </is>
      </c>
      <c r="E30" s="8" t="inlineStr">
        <is>
          <t>Free events hit their cap; that is what the cap is for</t>
        </is>
      </c>
    </row>
    <row r="31">
      <c r="A31" s="12" t="inlineStr">
        <is>
          <t>Full-res downloads per photo</t>
        </is>
      </c>
      <c r="B31" s="15" t="n">
        <v>0.9</v>
      </c>
      <c r="C31" s="8" t="inlineStr">
        <is>
          <t>downloads</t>
        </is>
      </c>
      <c r="D31" s="16" t="inlineStr">
        <is>
          <t>ESTIMATE</t>
        </is>
      </c>
      <c r="E31" s="8" t="inlineStr">
        <is>
          <t>Guest downloads are included on every plan, so this drives egress</t>
        </is>
      </c>
    </row>
    <row r="32">
      <c r="A32" s="12" t="inlineStr">
        <is>
          <t>Preview views per photo</t>
        </is>
      </c>
      <c r="B32" s="15" t="n">
        <v>14</v>
      </c>
      <c r="C32" s="8" t="inlineStr">
        <is>
          <t>views</t>
        </is>
      </c>
      <c r="D32" s="16" t="inlineStr">
        <is>
          <t>ESTIMATE</t>
        </is>
      </c>
      <c r="E32" s="8" t="inlineStr">
        <is>
          <t>Gallery browsing over 12 months</t>
        </is>
      </c>
    </row>
    <row r="33">
      <c r="A33" s="10" t="inlineStr">
        <is>
          <t>CLOUD RATES</t>
        </is>
      </c>
      <c r="B33" s="11" t="n"/>
      <c r="C33" s="11" t="n"/>
      <c r="D33" s="11" t="n"/>
      <c r="E33" s="11" t="n"/>
    </row>
    <row r="34">
      <c r="A34" s="12" t="inlineStr">
        <is>
          <t>R2 storage</t>
        </is>
      </c>
      <c r="B34" s="18" t="n">
        <v>0.015</v>
      </c>
      <c r="C34" s="8" t="inlineStr">
        <is>
          <t>USD/GB-mo</t>
        </is>
      </c>
      <c r="D34" s="8" t="inlineStr">
        <is>
          <t>PUBLISHED</t>
        </is>
      </c>
      <c r="E34" s="8" t="inlineStr">
        <is>
          <t>Cloudflare R2 standard storage</t>
        </is>
      </c>
    </row>
    <row r="35">
      <c r="A35" s="12" t="inlineStr">
        <is>
          <t>R2 egress</t>
        </is>
      </c>
      <c r="B35" s="18" t="n">
        <v>0</v>
      </c>
      <c r="C35" s="8" t="inlineStr">
        <is>
          <t>USD/GB</t>
        </is>
      </c>
      <c r="D35" s="8" t="inlineStr">
        <is>
          <t>PUBLISHED</t>
        </is>
      </c>
      <c r="E35" s="8" t="inlineStr">
        <is>
          <t>Zero. This is the entire reason for the hybrid — see docs/r2-hybrid.md</t>
        </is>
      </c>
    </row>
    <row r="36">
      <c r="A36" s="12" t="inlineStr">
        <is>
          <t>S3 storage</t>
        </is>
      </c>
      <c r="B36" s="18" t="n">
        <v>0.023</v>
      </c>
      <c r="C36" s="8" t="inlineStr">
        <is>
          <t>USD/GB-mo</t>
        </is>
      </c>
      <c r="D36" s="8" t="inlineStr">
        <is>
          <t>PUBLISHED</t>
        </is>
      </c>
      <c r="E36" s="8" t="inlineStr">
        <is>
          <t>S3 Standard, us-east-1</t>
        </is>
      </c>
    </row>
    <row r="37">
      <c r="A37" s="12" t="inlineStr">
        <is>
          <t>S3 egress (mirror copy-out, one-off)</t>
        </is>
      </c>
      <c r="B37" s="18" t="n">
        <v>0.09</v>
      </c>
      <c r="C37" s="8" t="inlineStr">
        <is>
          <t>USD/GB</t>
        </is>
      </c>
      <c r="D37" s="8" t="inlineStr">
        <is>
          <t>PUBLISHED</t>
        </is>
      </c>
      <c r="E37" s="8" t="inlineStr">
        <is>
          <t>Paid once per object when sanitize-upload copies it to R2</t>
        </is>
      </c>
    </row>
    <row r="38">
      <c r="A38" s="12" t="inlineStr">
        <is>
          <t>Lambda + DynamoDB + AppSync per event</t>
        </is>
      </c>
      <c r="B38" s="19" t="n">
        <v>0.12</v>
      </c>
      <c r="C38" s="8" t="inlineStr">
        <is>
          <t>USD</t>
        </is>
      </c>
      <c r="D38" s="16" t="inlineStr">
        <is>
          <t>ESTIMATE</t>
        </is>
      </c>
      <c r="E38" s="8" t="inlineStr">
        <is>
          <t>Upload processing, Rekognition screening, scheduled jobs, API calls</t>
        </is>
      </c>
    </row>
    <row r="39">
      <c r="A39" s="12" t="inlineStr">
        <is>
          <t>SES email per event</t>
        </is>
      </c>
      <c r="B39" s="19" t="n">
        <v>0.02</v>
      </c>
      <c r="C39" s="8" t="inlineStr">
        <is>
          <t>USD</t>
        </is>
      </c>
      <c r="D39" s="16" t="inlineStr">
        <is>
          <t>ESTIMATE</t>
        </is>
      </c>
      <c r="E39" s="8" t="inlineStr">
        <is>
          <t>Reminders at 60/30/7 days, survey and rating invites</t>
        </is>
      </c>
    </row>
    <row r="40">
      <c r="A40" s="10" t="inlineStr">
        <is>
          <t>COMMERCIAL</t>
        </is>
      </c>
      <c r="B40" s="11" t="n"/>
      <c r="C40" s="11" t="n"/>
      <c r="D40" s="11" t="n"/>
      <c r="E40" s="11" t="n"/>
    </row>
    <row r="41">
      <c r="A41" s="12" t="inlineStr">
        <is>
          <t>Stripe percentage fee</t>
        </is>
      </c>
      <c r="B41" s="20" t="n">
        <v>0.029</v>
      </c>
      <c r="C41" s="8" t="inlineStr">
        <is>
          <t>% of price</t>
        </is>
      </c>
      <c r="D41" s="8" t="inlineStr">
        <is>
          <t>PUBLISHED</t>
        </is>
      </c>
      <c r="E41" s="8" t="inlineStr">
        <is>
          <t>Standard card rate</t>
        </is>
      </c>
    </row>
    <row r="42">
      <c r="A42" s="12" t="inlineStr">
        <is>
          <t>Stripe fixed fee</t>
        </is>
      </c>
      <c r="B42" s="21" t="n">
        <v>0.3</v>
      </c>
      <c r="C42" s="8" t="inlineStr">
        <is>
          <t>USD</t>
        </is>
      </c>
      <c r="D42" s="8" t="inlineStr">
        <is>
          <t>PUBLISHED</t>
        </is>
      </c>
      <c r="E42" s="8" t="inlineStr">
        <is>
          <t>Per successful charge</t>
        </is>
      </c>
    </row>
    <row r="43">
      <c r="A43" s="12" t="inlineStr">
        <is>
          <t>Guest Upload Promise refund rate</t>
        </is>
      </c>
      <c r="B43" s="22" t="n">
        <v>0.03</v>
      </c>
      <c r="C43" s="8" t="inlineStr">
        <is>
          <t>% of paid</t>
        </is>
      </c>
      <c r="D43" s="16" t="inlineStr">
        <is>
          <t>ESTIMATE</t>
        </is>
      </c>
      <c r="E43" s="8" t="inlineStr">
        <is>
          <t>Share of paid events claiming the guarantee. lib/refunds.ts caps stacking</t>
        </is>
      </c>
    </row>
    <row r="44">
      <c r="A44" s="12" t="inlineStr">
        <is>
          <t>Research gift card</t>
        </is>
      </c>
      <c r="B44" s="13" t="n">
        <v>25</v>
      </c>
      <c r="C44" s="8" t="inlineStr">
        <is>
          <t>USD</t>
        </is>
      </c>
      <c r="D44" s="8" t="inlineStr">
        <is>
          <t>CODE</t>
        </is>
      </c>
      <c r="E44" s="8" t="inlineStr">
        <is>
          <t>INCENTIVE_AMOUNT_USD. Bought by hand</t>
        </is>
      </c>
    </row>
    <row r="45">
      <c r="A45" s="12" t="inlineStr">
        <is>
          <t>Share of paid events surveyed</t>
        </is>
      </c>
      <c r="B45" s="22" t="n">
        <v>0.08</v>
      </c>
      <c r="C45" s="8" t="inlineStr">
        <is>
          <t>% of paid</t>
        </is>
      </c>
      <c r="D45" s="16" t="inlineStr">
        <is>
          <t>ESTIMATE</t>
        </is>
      </c>
      <c r="E45" s="8" t="inlineStr">
        <is>
          <t>Only successful events are invited</t>
        </is>
      </c>
    </row>
    <row r="46">
      <c r="A46" s="12" t="inlineStr">
        <is>
          <t>Free events per paid event</t>
        </is>
      </c>
      <c r="B46" s="15" t="n">
        <v>2.5</v>
      </c>
      <c r="C46" s="8" t="inlineStr">
        <is>
          <t>events</t>
        </is>
      </c>
      <c r="D46" s="16" t="inlineStr">
        <is>
          <t>ESTIMATE</t>
        </is>
      </c>
      <c r="E46" s="8" t="inlineStr">
        <is>
          <t>Free-tier load carried by each sale. THE key blended-margin lever</t>
        </is>
      </c>
    </row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15" customWidth="1" min="3" max="3"/>
    <col width="66" customWidth="1" min="4" max="4"/>
  </cols>
  <sheetData>
    <row r="1">
      <c r="A1" s="7" t="inlineStr">
        <is>
          <t>Per-event unit economics</t>
        </is>
      </c>
    </row>
    <row r="2">
      <c r="A2" s="8" t="inlineStr">
        <is>
          <t>One event, over its whole life. Storage is charged for the ~17 months it is actually held, not for the length of the party.</t>
        </is>
      </c>
    </row>
    <row r="4">
      <c r="A4" s="9" t="inlineStr"/>
      <c r="B4" s="9" t="inlineStr">
        <is>
          <t>Full Event ($79)</t>
        </is>
      </c>
      <c r="C4" s="9" t="inlineStr">
        <is>
          <t>Free event</t>
        </is>
      </c>
      <c r="D4" s="9" t="inlineStr">
        <is>
          <t>Note</t>
        </is>
      </c>
    </row>
    <row r="5">
      <c r="A5" s="10" t="inlineStr">
        <is>
          <t>VOLUME</t>
        </is>
      </c>
      <c r="B5" s="11" t="n"/>
      <c r="C5" s="11" t="n"/>
      <c r="D5" s="11" t="n"/>
    </row>
    <row r="6">
      <c r="A6" s="12" t="inlineStr">
        <is>
          <t>Photos</t>
        </is>
      </c>
      <c r="B6" s="23">
        <f>Assumptions!$B$28</f>
        <v/>
      </c>
      <c r="C6" s="23">
        <f>Assumptions!$B$30</f>
        <v/>
      </c>
      <c r="D6" s="8" t="inlineStr">
        <is>
          <t>Paid is the central case only — the Break-even sheet varies it, because there is no cap to anchor on</t>
        </is>
      </c>
    </row>
    <row r="7">
      <c r="A7" s="12" t="inlineStr">
        <is>
          <t>Videos</t>
        </is>
      </c>
      <c r="B7" s="23">
        <f>Assumptions!$B$29</f>
        <v/>
      </c>
      <c r="C7" s="23">
        <f>Assumptions!$B$14</f>
        <v/>
      </c>
      <c r="D7" s="8" t="inlineStr">
        <is>
          <t>Video is capped on both plans</t>
        </is>
      </c>
    </row>
    <row r="9">
      <c r="A9" s="10" t="inlineStr">
        <is>
          <t>STORED VOLUME (GB)</t>
        </is>
      </c>
      <c r="B9" s="11" t="n"/>
      <c r="C9" s="11" t="n"/>
      <c r="D9" s="11" t="n"/>
    </row>
    <row r="10">
      <c r="A10" s="12" t="inlineStr">
        <is>
          <t xml:space="preserve">   Originals</t>
        </is>
      </c>
      <c r="B10" s="24">
        <f>B6*Assumptions!$B$23/1024</f>
        <v/>
      </c>
      <c r="C10" s="24">
        <f>C6*Assumptions!$B$23/1024</f>
        <v/>
      </c>
      <c r="D10" s="8" t="inlineStr">
        <is>
          <t>Full-resolution files. Guest downloads serve these, which is why egress tracks them</t>
        </is>
      </c>
    </row>
    <row r="11">
      <c r="A11" s="12" t="inlineStr">
        <is>
          <t xml:space="preserve">   Previews</t>
        </is>
      </c>
      <c r="B11" s="24">
        <f>B6*Assumptions!$B$24/1024</f>
        <v/>
      </c>
      <c r="C11" s="24">
        <f>C6*Assumptions!$B$24/1024</f>
        <v/>
      </c>
      <c r="D11" s="8" t="inlineStr">
        <is>
          <t>1280px, quality 0.68 — what the gallery actually displays</t>
        </is>
      </c>
    </row>
    <row r="12">
      <c r="A12" s="12" t="inlineStr">
        <is>
          <t xml:space="preserve">   Thumbnails</t>
        </is>
      </c>
      <c r="B12" s="24">
        <f>B6*Assumptions!$B$25/1024</f>
        <v/>
      </c>
      <c r="C12" s="24">
        <f>C6*Assumptions!$B$25/1024</f>
        <v/>
      </c>
      <c r="D12" s="8" t="inlineStr">
        <is>
          <t>480px, quality 0.5</t>
        </is>
      </c>
    </row>
    <row r="13">
      <c r="A13" s="12" t="inlineStr">
        <is>
          <t xml:space="preserve">   Video</t>
        </is>
      </c>
      <c r="B13" s="24">
        <f>B7*Assumptions!$B$26/1024</f>
        <v/>
      </c>
      <c r="C13" s="24">
        <f>C7*Assumptions!$B$26/1024</f>
        <v/>
      </c>
      <c r="D13" s="8" t="inlineStr">
        <is>
          <t>Never resized. Served at full size on every play — the reason video stays capped while photos did not</t>
        </is>
      </c>
    </row>
    <row r="14">
      <c r="A14" s="25" t="inlineStr">
        <is>
          <t>Total stored per event</t>
        </is>
      </c>
      <c r="B14" s="26">
        <f>SUM(B10:B13)</f>
        <v/>
      </c>
      <c r="C14" s="26">
        <f>SUM(C10:C13)</f>
        <v/>
      </c>
      <c r="D14" s="8" t="inlineStr">
        <is>
          <t>GB</t>
        </is>
      </c>
    </row>
    <row r="16">
      <c r="A16" s="10" t="inlineStr">
        <is>
          <t>HOW LONG IT IS HELD</t>
        </is>
      </c>
      <c r="B16" s="11" t="n"/>
      <c r="C16" s="11" t="n"/>
      <c r="D16" s="11" t="n"/>
    </row>
    <row r="17">
      <c r="A17" s="12" t="inlineStr">
        <is>
          <t>Customer-visible life (months)</t>
        </is>
      </c>
      <c r="B17" s="24">
        <f>(Assumptions!$B$16+Assumptions!$B$17+Assumptions!$B$18+Assumptions!$B$19)/30.44</f>
        <v/>
      </c>
      <c r="C17" s="24">
        <f>(Assumptions!$B$16+Assumptions!$B$20+Assumptions!$B$18+Assumptions!$B$19)/30.44</f>
        <v/>
      </c>
      <c r="D17" s="8" t="inlineStr">
        <is>
          <t>Window + gallery + archive + grace. What reclaim-storage enforces</t>
        </is>
      </c>
    </row>
    <row r="18">
      <c r="A18" s="12" t="inlineStr">
        <is>
          <t>S3 copy held (months)</t>
        </is>
      </c>
      <c r="B18" s="24">
        <f>Assumptions!$B$21/30.44</f>
        <v/>
      </c>
      <c r="C18" s="24">
        <f>Assumptions!$B$21/30.44</f>
        <v/>
      </c>
      <c r="D18" s="8" t="inlineStr">
        <is>
          <t>The 800-day backstop. Not shortened when the event is reclaimed — see Dual storage below</t>
        </is>
      </c>
    </row>
    <row r="20">
      <c r="A20" s="10" t="inlineStr">
        <is>
          <t>REVENUE</t>
        </is>
      </c>
      <c r="B20" s="11" t="n"/>
      <c r="C20" s="11" t="n"/>
      <c r="D20" s="11" t="n"/>
    </row>
    <row r="21">
      <c r="A21" s="12" t="inlineStr">
        <is>
          <t>List price</t>
        </is>
      </c>
      <c r="B21" s="27">
        <f>Assumptions!$B$6</f>
        <v/>
      </c>
      <c r="C21" s="27">
        <f>Assumptions!$B$7</f>
        <v/>
      </c>
    </row>
    <row r="22">
      <c r="A22" s="12" t="inlineStr">
        <is>
          <t>Less: Stripe fees</t>
        </is>
      </c>
      <c r="B22" s="27">
        <f>-(B21*Assumptions!$B$41+Assumptions!$B$42)</f>
        <v/>
      </c>
      <c r="C22" s="27">
        <f>0</f>
        <v/>
      </c>
      <c r="D22" s="8" t="inlineStr">
        <is>
          <t>A free event never reaches Stripe at all — priceableTier is membership of TIER_PRICING</t>
        </is>
      </c>
    </row>
    <row r="23">
      <c r="A23" s="12" t="inlineStr">
        <is>
          <t>Less: expected Guest Upload Promise refund</t>
        </is>
      </c>
      <c r="B23" s="27">
        <f>-B21*Assumptions!$B$43</f>
        <v/>
      </c>
      <c r="C23" s="27">
        <f>0</f>
        <v/>
      </c>
    </row>
    <row r="24">
      <c r="A24" s="25" t="inlineStr">
        <is>
          <t>Net revenue</t>
        </is>
      </c>
      <c r="B24" s="28">
        <f>SUM(B21:B23)</f>
        <v/>
      </c>
      <c r="C24" s="28">
        <f>SUM(C21:C23)</f>
        <v/>
      </c>
    </row>
    <row r="26">
      <c r="A26" s="10" t="inlineStr">
        <is>
          <t>COST</t>
        </is>
      </c>
      <c r="B26" s="11" t="n"/>
      <c r="C26" s="11" t="n"/>
      <c r="D26" s="11" t="n"/>
    </row>
    <row r="27">
      <c r="A27" s="12" t="inlineStr">
        <is>
          <t xml:space="preserve">   R2 storage</t>
        </is>
      </c>
      <c r="B27" s="27">
        <f>B14*B17*Assumptions!$B$34</f>
        <v/>
      </c>
      <c r="C27" s="27">
        <f>C14*C17*Assumptions!$B$34</f>
        <v/>
      </c>
      <c r="D27" s="8" t="inlineStr">
        <is>
          <t>Serves every read</t>
        </is>
      </c>
    </row>
    <row r="28">
      <c r="A28" s="12" t="inlineStr">
        <is>
          <t xml:space="preserve">   S3 storage (second copy)</t>
        </is>
      </c>
      <c r="B28" s="27">
        <f>B14*B18*Assumptions!$B$36</f>
        <v/>
      </c>
      <c r="C28" s="27">
        <f>C14*C18*Assumptions!$B$36</f>
        <v/>
      </c>
      <c r="D28" s="8" t="inlineStr">
        <is>
          <t>The duplicate. Larger than the R2 line because it is both dearer per GB and held longer</t>
        </is>
      </c>
    </row>
    <row r="29">
      <c r="A29" s="12" t="inlineStr">
        <is>
          <t xml:space="preserve">   S3 egress — one-off mirror copy</t>
        </is>
      </c>
      <c r="B29" s="27">
        <f>B14*Assumptions!$B$37</f>
        <v/>
      </c>
      <c r="C29" s="27">
        <f>C14*Assumptions!$B$37</f>
        <v/>
      </c>
      <c r="D29" s="8" t="inlineStr">
        <is>
          <t>Paid once per object when sanitize-upload copies it to R2</t>
        </is>
      </c>
    </row>
    <row r="30">
      <c r="A30" s="12" t="inlineStr">
        <is>
          <t xml:space="preserve">   Guest download egress</t>
        </is>
      </c>
      <c r="B30" s="27">
        <f>B10*Assumptions!$B$31*Assumptions!$B$35</f>
        <v/>
      </c>
      <c r="C30" s="27">
        <f>C10*Assumptions!$B$31*Assumptions!$B$35</f>
        <v/>
      </c>
      <c r="D30" s="8" t="inlineStr">
        <is>
          <t>Zero, because R2 charges nothing for egress. On S3 this was the single largest line</t>
        </is>
      </c>
    </row>
    <row r="31">
      <c r="A31" s="12" t="inlineStr">
        <is>
          <t xml:space="preserve">   Compute, database and API</t>
        </is>
      </c>
      <c r="B31" s="27">
        <f>Assumptions!$B$38</f>
        <v/>
      </c>
      <c r="C31" s="27">
        <f>Assumptions!$B$38</f>
        <v/>
      </c>
      <c r="D31" s="8" t="inlineStr">
        <is>
          <t>Upload processing, Rekognition screening, scheduled jobs</t>
        </is>
      </c>
    </row>
    <row r="32">
      <c r="A32" s="12" t="inlineStr">
        <is>
          <t xml:space="preserve">   Email</t>
        </is>
      </c>
      <c r="B32" s="27">
        <f>Assumptions!$B$39</f>
        <v/>
      </c>
      <c r="C32" s="27">
        <f>Assumptions!$B$39</f>
        <v/>
      </c>
      <c r="D32" s="8" t="inlineStr">
        <is>
          <t>Expiry reminders, survey and rating invites</t>
        </is>
      </c>
    </row>
    <row r="33">
      <c r="A33" s="12" t="inlineStr">
        <is>
          <t xml:space="preserve">   Research gift card (expected)</t>
        </is>
      </c>
      <c r="B33" s="27">
        <f>Assumptions!$B$44*Assumptions!$B$45</f>
        <v/>
      </c>
      <c r="C33" s="27">
        <f>0</f>
        <v/>
      </c>
      <c r="D33" s="8" t="inlineStr">
        <is>
          <t>Only successful events are invited, and the card is bought by hand</t>
        </is>
      </c>
    </row>
    <row r="34">
      <c r="A34" s="25" t="inlineStr">
        <is>
          <t>Total cost per event</t>
        </is>
      </c>
      <c r="B34" s="28">
        <f>SUM(B27:B33)</f>
        <v/>
      </c>
      <c r="C34" s="28">
        <f>SUM(C27:C33)</f>
        <v/>
      </c>
    </row>
    <row r="36">
      <c r="A36" s="10" t="inlineStr">
        <is>
          <t>RESULT</t>
        </is>
      </c>
      <c r="B36" s="11" t="n"/>
      <c r="C36" s="11" t="n"/>
      <c r="D36" s="11" t="n"/>
    </row>
    <row r="37">
      <c r="A37" s="25" t="inlineStr">
        <is>
          <t>Gross margin per event</t>
        </is>
      </c>
      <c r="B37" s="28">
        <f>B24-B34</f>
        <v/>
      </c>
      <c r="C37" s="28">
        <f>C24-C34</f>
        <v/>
      </c>
    </row>
    <row r="38">
      <c r="A38" s="25" t="inlineStr">
        <is>
          <t>Gross margin %</t>
        </is>
      </c>
      <c r="B38" s="29">
        <f>IFERROR(B37/B24,0)</f>
        <v/>
      </c>
      <c r="C38" s="8" t="inlineStr">
        <is>
          <t>n/a</t>
        </is>
      </c>
    </row>
    <row r="40">
      <c r="A40" s="10" t="inlineStr">
        <is>
          <t>DUAL STORAGE — what the second copy costs</t>
        </is>
      </c>
      <c r="B40" s="11" t="n"/>
      <c r="C40" s="11" t="n"/>
      <c r="D40" s="11" t="n"/>
    </row>
    <row r="41">
      <c r="A41" s="12" t="inlineStr">
        <is>
          <t>S3 duplicate as % of total cost</t>
        </is>
      </c>
      <c r="B41" s="30">
        <f>IFERROR(B28/B34,0)</f>
        <v/>
      </c>
      <c r="D41" s="8" t="inlineStr">
        <is>
          <t>Objects are written to S3, mirrored to R2, and R2 serves every read. The S3 copy is never removed early.</t>
        </is>
      </c>
    </row>
    <row r="42">
      <c r="A42" s="12" t="inlineStr">
        <is>
          <t>Saving if S3 expired 30 days after mirroring</t>
        </is>
      </c>
      <c r="B42" s="27">
        <f>B14*(B18-1)*Assumptions!$B$36</f>
        <v/>
      </c>
      <c r="D42" s="8" t="inlineStr">
        <is>
          <t>Not a recommendation yet: S3 is the write path and the re-mirror source. Worth costing properly before acting.</t>
        </is>
      </c>
    </row>
    <row r="43">
      <c r="A43" s="8" t="inlineStr">
        <is>
          <t xml:space="preserve">   ...as % of the $79 price</t>
        </is>
      </c>
      <c r="B43" s="30">
        <f>IFERROR(B42/B21,0)</f>
        <v/>
      </c>
    </row>
    <row r="45">
      <c r="A45" s="31" t="inlineStr">
        <is>
          <t>The number to watch</t>
        </is>
      </c>
    </row>
    <row r="46">
      <c r="A46" s="8" t="inlineStr">
        <is>
          <t>Photos per event is the only input with no ceiling, so it is the only one that can turn this negative on its own.</t>
        </is>
      </c>
    </row>
    <row r="47">
      <c r="A47" s="8" t="inlineStr">
        <is>
          <t>The Break-even sheet is that question asked directly. Everything else here moves the answer by cents.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7" t="inlineStr">
        <is>
          <t>Break-even: how many photos before a $79 event stops paying</t>
        </is>
      </c>
    </row>
    <row r="2">
      <c r="A2" s="8" t="inlineStr">
        <is>
          <t>Unlimited photos removed the cap the old model multiplied against. This grid is what replaced it.</t>
        </is>
      </c>
    </row>
    <row r="3">
      <c r="A3" s="8" t="inlineStr">
        <is>
          <t>Rows: photos uploaded. Columns: what R2 might charge for egress. Each cell is gross margin in dollars.</t>
        </is>
      </c>
    </row>
    <row r="4">
      <c r="A4" s="8" t="inlineStr">
        <is>
          <t>Downloads per photo is an input on Assumptions; it only bites in the columns where egress is not free.</t>
        </is>
      </c>
    </row>
    <row r="5"/>
    <row r="6">
      <c r="A6" s="9" t="inlineStr">
        <is>
          <t>Photos \ R2 egress per GB</t>
        </is>
      </c>
      <c r="B6" s="32" t="inlineStr">
        <is>
          <t>$0.00 (today)</t>
        </is>
      </c>
      <c r="C6" s="32" t="inlineStr">
        <is>
          <t>$0.005</t>
        </is>
      </c>
      <c r="D6" s="32" t="inlineStr">
        <is>
          <t>$0.010</t>
        </is>
      </c>
      <c r="E6" s="32" t="inlineStr">
        <is>
          <t>$0.020</t>
        </is>
      </c>
      <c r="F6" s="32" t="inlineStr">
        <is>
          <t>$0.045</t>
        </is>
      </c>
      <c r="G6" s="32" t="inlineStr">
        <is>
          <t>$0.090 (S3 parity)</t>
        </is>
      </c>
    </row>
    <row r="7">
      <c r="A7" s="8" t="inlineStr">
        <is>
          <t>rate used -&gt;</t>
        </is>
      </c>
      <c r="B7" s="33" t="n">
        <v>0</v>
      </c>
      <c r="C7" s="33" t="n">
        <v>0.005</v>
      </c>
      <c r="D7" s="33" t="n">
        <v>0.01</v>
      </c>
      <c r="E7" s="33" t="n">
        <v>0.02</v>
      </c>
      <c r="F7" s="33" t="n">
        <v>0.045</v>
      </c>
      <c r="G7" s="33" t="n">
        <v>0.09</v>
      </c>
    </row>
    <row r="8">
      <c r="A8" s="14" t="n">
        <v>200</v>
      </c>
      <c r="B8" s="27">
        <f>(Assumptions!$B$6*(1-Assumptions!$B$41-Assumptions!$B$43)-Assumptions!$B$42)-(Assumptions!$B$38+Assumptions!$B$39+Assumptions!$B$44*Assumptions!$B$45)-(($A8*(Assumptions!$B$23+Assumptions!$B$24+Assumptions!$B$25)/1024)+(Assumptions!$B$29*Assumptions!$B$26/1024))*((Assumptions!$B$16+Assumptions!$B$17+Assumptions!$B$18+Assumptions!$B$19)/30.44)*Assumptions!$B$34-(($A8*(Assumptions!$B$23+Assumptions!$B$24+Assumptions!$B$25)/1024)+(Assumptions!$B$29*Assumptions!$B$26/1024))*(Assumptions!$B$21/30.44)*Assumptions!$B$36-(($A8*(Assumptions!$B$23+Assumptions!$B$24+Assumptions!$B$25)/1024)+(Assumptions!$B$29*Assumptions!$B$26/1024))*Assumptions!$B$37-(($A8*Assumptions!$B$23/1024)*Assumptions!$B$31+($A8*Assumptions!$B$24/1024)*Assumptions!$B$32)*B$7</f>
        <v/>
      </c>
      <c r="C8" s="27">
        <f>(Assumptions!$B$6*(1-Assumptions!$B$41-Assumptions!$B$43)-Assumptions!$B$42)-(Assumptions!$B$38+Assumptions!$B$39+Assumptions!$B$44*Assumptions!$B$45)-(($A8*(Assumptions!$B$23+Assumptions!$B$24+Assumptions!$B$25)/1024)+(Assumptions!$B$29*Assumptions!$B$26/1024))*((Assumptions!$B$16+Assumptions!$B$17+Assumptions!$B$18+Assumptions!$B$19)/30.44)*Assumptions!$B$34-(($A8*(Assumptions!$B$23+Assumptions!$B$24+Assumptions!$B$25)/1024)+(Assumptions!$B$29*Assumptions!$B$26/1024))*(Assumptions!$B$21/30.44)*Assumptions!$B$36-(($A8*(Assumptions!$B$23+Assumptions!$B$24+Assumptions!$B$25)/1024)+(Assumptions!$B$29*Assumptions!$B$26/1024))*Assumptions!$B$37-(($A8*Assumptions!$B$23/1024)*Assumptions!$B$31+($A8*Assumptions!$B$24/1024)*Assumptions!$B$32)*C$7</f>
        <v/>
      </c>
      <c r="D8" s="27">
        <f>(Assumptions!$B$6*(1-Assumptions!$B$41-Assumptions!$B$43)-Assumptions!$B$42)-(Assumptions!$B$38+Assumptions!$B$39+Assumptions!$B$44*Assumptions!$B$45)-(($A8*(Assumptions!$B$23+Assumptions!$B$24+Assumptions!$B$25)/1024)+(Assumptions!$B$29*Assumptions!$B$26/1024))*((Assumptions!$B$16+Assumptions!$B$17+Assumptions!$B$18+Assumptions!$B$19)/30.44)*Assumptions!$B$34-(($A8*(Assumptions!$B$23+Assumptions!$B$24+Assumptions!$B$25)/1024)+(Assumptions!$B$29*Assumptions!$B$26/1024))*(Assumptions!$B$21/30.44)*Assumptions!$B$36-(($A8*(Assumptions!$B$23+Assumptions!$B$24+Assumptions!$B$25)/1024)+(Assumptions!$B$29*Assumptions!$B$26/1024))*Assumptions!$B$37-(($A8*Assumptions!$B$23/1024)*Assumptions!$B$31+($A8*Assumptions!$B$24/1024)*Assumptions!$B$32)*D$7</f>
        <v/>
      </c>
      <c r="E8" s="27">
        <f>(Assumptions!$B$6*(1-Assumptions!$B$41-Assumptions!$B$43)-Assumptions!$B$42)-(Assumptions!$B$38+Assumptions!$B$39+Assumptions!$B$44*Assumptions!$B$45)-(($A8*(Assumptions!$B$23+Assumptions!$B$24+Assumptions!$B$25)/1024)+(Assumptions!$B$29*Assumptions!$B$26/1024))*((Assumptions!$B$16+Assumptions!$B$17+Assumptions!$B$18+Assumptions!$B$19)/30.44)*Assumptions!$B$34-(($A8*(Assumptions!$B$23+Assumptions!$B$24+Assumptions!$B$25)/1024)+(Assumptions!$B$29*Assumptions!$B$26/1024))*(Assumptions!$B$21/30.44)*Assumptions!$B$36-(($A8*(Assumptions!$B$23+Assumptions!$B$24+Assumptions!$B$25)/1024)+(Assumptions!$B$29*Assumptions!$B$26/1024))*Assumptions!$B$37-(($A8*Assumptions!$B$23/1024)*Assumptions!$B$31+($A8*Assumptions!$B$24/1024)*Assumptions!$B$32)*E$7</f>
        <v/>
      </c>
      <c r="F8" s="27">
        <f>(Assumptions!$B$6*(1-Assumptions!$B$41-Assumptions!$B$43)-Assumptions!$B$42)-(Assumptions!$B$38+Assumptions!$B$39+Assumptions!$B$44*Assumptions!$B$45)-(($A8*(Assumptions!$B$23+Assumptions!$B$24+Assumptions!$B$25)/1024)+(Assumptions!$B$29*Assumptions!$B$26/1024))*((Assumptions!$B$16+Assumptions!$B$17+Assumptions!$B$18+Assumptions!$B$19)/30.44)*Assumptions!$B$34-(($A8*(Assumptions!$B$23+Assumptions!$B$24+Assumptions!$B$25)/1024)+(Assumptions!$B$29*Assumptions!$B$26/1024))*(Assumptions!$B$21/30.44)*Assumptions!$B$36-(($A8*(Assumptions!$B$23+Assumptions!$B$24+Assumptions!$B$25)/1024)+(Assumptions!$B$29*Assumptions!$B$26/1024))*Assumptions!$B$37-(($A8*Assumptions!$B$23/1024)*Assumptions!$B$31+($A8*Assumptions!$B$24/1024)*Assumptions!$B$32)*F$7</f>
        <v/>
      </c>
      <c r="G8" s="27">
        <f>(Assumptions!$B$6*(1-Assumptions!$B$41-Assumptions!$B$43)-Assumptions!$B$42)-(Assumptions!$B$38+Assumptions!$B$39+Assumptions!$B$44*Assumptions!$B$45)-(($A8*(Assumptions!$B$23+Assumptions!$B$24+Assumptions!$B$25)/1024)+(Assumptions!$B$29*Assumptions!$B$26/1024))*((Assumptions!$B$16+Assumptions!$B$17+Assumptions!$B$18+Assumptions!$B$19)/30.44)*Assumptions!$B$34-(($A8*(Assumptions!$B$23+Assumptions!$B$24+Assumptions!$B$25)/1024)+(Assumptions!$B$29*Assumptions!$B$26/1024))*(Assumptions!$B$21/30.44)*Assumptions!$B$36-(($A8*(Assumptions!$B$23+Assumptions!$B$24+Assumptions!$B$25)/1024)+(Assumptions!$B$29*Assumptions!$B$26/1024))*Assumptions!$B$37-(($A8*Assumptions!$B$23/1024)*Assumptions!$B$31+($A8*Assumptions!$B$24/1024)*Assumptions!$B$32)*G$7</f>
        <v/>
      </c>
    </row>
    <row r="9">
      <c r="A9" s="14" t="n">
        <v>500</v>
      </c>
      <c r="B9" s="27">
        <f>(Assumptions!$B$6*(1-Assumptions!$B$41-Assumptions!$B$43)-Assumptions!$B$42)-(Assumptions!$B$38+Assumptions!$B$39+Assumptions!$B$44*Assumptions!$B$45)-(($A9*(Assumptions!$B$23+Assumptions!$B$24+Assumptions!$B$25)/1024)+(Assumptions!$B$29*Assumptions!$B$26/1024))*((Assumptions!$B$16+Assumptions!$B$17+Assumptions!$B$18+Assumptions!$B$19)/30.44)*Assumptions!$B$34-(($A9*(Assumptions!$B$23+Assumptions!$B$24+Assumptions!$B$25)/1024)+(Assumptions!$B$29*Assumptions!$B$26/1024))*(Assumptions!$B$21/30.44)*Assumptions!$B$36-(($A9*(Assumptions!$B$23+Assumptions!$B$24+Assumptions!$B$25)/1024)+(Assumptions!$B$29*Assumptions!$B$26/1024))*Assumptions!$B$37-(($A9*Assumptions!$B$23/1024)*Assumptions!$B$31+($A9*Assumptions!$B$24/1024)*Assumptions!$B$32)*B$7</f>
        <v/>
      </c>
      <c r="C9" s="27">
        <f>(Assumptions!$B$6*(1-Assumptions!$B$41-Assumptions!$B$43)-Assumptions!$B$42)-(Assumptions!$B$38+Assumptions!$B$39+Assumptions!$B$44*Assumptions!$B$45)-(($A9*(Assumptions!$B$23+Assumptions!$B$24+Assumptions!$B$25)/1024)+(Assumptions!$B$29*Assumptions!$B$26/1024))*((Assumptions!$B$16+Assumptions!$B$17+Assumptions!$B$18+Assumptions!$B$19)/30.44)*Assumptions!$B$34-(($A9*(Assumptions!$B$23+Assumptions!$B$24+Assumptions!$B$25)/1024)+(Assumptions!$B$29*Assumptions!$B$26/1024))*(Assumptions!$B$21/30.44)*Assumptions!$B$36-(($A9*(Assumptions!$B$23+Assumptions!$B$24+Assumptions!$B$25)/1024)+(Assumptions!$B$29*Assumptions!$B$26/1024))*Assumptions!$B$37-(($A9*Assumptions!$B$23/1024)*Assumptions!$B$31+($A9*Assumptions!$B$24/1024)*Assumptions!$B$32)*C$7</f>
        <v/>
      </c>
      <c r="D9" s="27">
        <f>(Assumptions!$B$6*(1-Assumptions!$B$41-Assumptions!$B$43)-Assumptions!$B$42)-(Assumptions!$B$38+Assumptions!$B$39+Assumptions!$B$44*Assumptions!$B$45)-(($A9*(Assumptions!$B$23+Assumptions!$B$24+Assumptions!$B$25)/1024)+(Assumptions!$B$29*Assumptions!$B$26/1024))*((Assumptions!$B$16+Assumptions!$B$17+Assumptions!$B$18+Assumptions!$B$19)/30.44)*Assumptions!$B$34-(($A9*(Assumptions!$B$23+Assumptions!$B$24+Assumptions!$B$25)/1024)+(Assumptions!$B$29*Assumptions!$B$26/1024))*(Assumptions!$B$21/30.44)*Assumptions!$B$36-(($A9*(Assumptions!$B$23+Assumptions!$B$24+Assumptions!$B$25)/1024)+(Assumptions!$B$29*Assumptions!$B$26/1024))*Assumptions!$B$37-(($A9*Assumptions!$B$23/1024)*Assumptions!$B$31+($A9*Assumptions!$B$24/1024)*Assumptions!$B$32)*D$7</f>
        <v/>
      </c>
      <c r="E9" s="27">
        <f>(Assumptions!$B$6*(1-Assumptions!$B$41-Assumptions!$B$43)-Assumptions!$B$42)-(Assumptions!$B$38+Assumptions!$B$39+Assumptions!$B$44*Assumptions!$B$45)-(($A9*(Assumptions!$B$23+Assumptions!$B$24+Assumptions!$B$25)/1024)+(Assumptions!$B$29*Assumptions!$B$26/1024))*((Assumptions!$B$16+Assumptions!$B$17+Assumptions!$B$18+Assumptions!$B$19)/30.44)*Assumptions!$B$34-(($A9*(Assumptions!$B$23+Assumptions!$B$24+Assumptions!$B$25)/1024)+(Assumptions!$B$29*Assumptions!$B$26/1024))*(Assumptions!$B$21/30.44)*Assumptions!$B$36-(($A9*(Assumptions!$B$23+Assumptions!$B$24+Assumptions!$B$25)/1024)+(Assumptions!$B$29*Assumptions!$B$26/1024))*Assumptions!$B$37-(($A9*Assumptions!$B$23/1024)*Assumptions!$B$31+($A9*Assumptions!$B$24/1024)*Assumptions!$B$32)*E$7</f>
        <v/>
      </c>
      <c r="F9" s="27">
        <f>(Assumptions!$B$6*(1-Assumptions!$B$41-Assumptions!$B$43)-Assumptions!$B$42)-(Assumptions!$B$38+Assumptions!$B$39+Assumptions!$B$44*Assumptions!$B$45)-(($A9*(Assumptions!$B$23+Assumptions!$B$24+Assumptions!$B$25)/1024)+(Assumptions!$B$29*Assumptions!$B$26/1024))*((Assumptions!$B$16+Assumptions!$B$17+Assumptions!$B$18+Assumptions!$B$19)/30.44)*Assumptions!$B$34-(($A9*(Assumptions!$B$23+Assumptions!$B$24+Assumptions!$B$25)/1024)+(Assumptions!$B$29*Assumptions!$B$26/1024))*(Assumptions!$B$21/30.44)*Assumptions!$B$36-(($A9*(Assumptions!$B$23+Assumptions!$B$24+Assumptions!$B$25)/1024)+(Assumptions!$B$29*Assumptions!$B$26/1024))*Assumptions!$B$37-(($A9*Assumptions!$B$23/1024)*Assumptions!$B$31+($A9*Assumptions!$B$24/1024)*Assumptions!$B$32)*F$7</f>
        <v/>
      </c>
      <c r="G9" s="27">
        <f>(Assumptions!$B$6*(1-Assumptions!$B$41-Assumptions!$B$43)-Assumptions!$B$42)-(Assumptions!$B$38+Assumptions!$B$39+Assumptions!$B$44*Assumptions!$B$45)-(($A9*(Assumptions!$B$23+Assumptions!$B$24+Assumptions!$B$25)/1024)+(Assumptions!$B$29*Assumptions!$B$26/1024))*((Assumptions!$B$16+Assumptions!$B$17+Assumptions!$B$18+Assumptions!$B$19)/30.44)*Assumptions!$B$34-(($A9*(Assumptions!$B$23+Assumptions!$B$24+Assumptions!$B$25)/1024)+(Assumptions!$B$29*Assumptions!$B$26/1024))*(Assumptions!$B$21/30.44)*Assumptions!$B$36-(($A9*(Assumptions!$B$23+Assumptions!$B$24+Assumptions!$B$25)/1024)+(Assumptions!$B$29*Assumptions!$B$26/1024))*Assumptions!$B$37-(($A9*Assumptions!$B$23/1024)*Assumptions!$B$31+($A9*Assumptions!$B$24/1024)*Assumptions!$B$32)*G$7</f>
        <v/>
      </c>
    </row>
    <row r="10">
      <c r="A10" s="14" t="n">
        <v>1000</v>
      </c>
      <c r="B10" s="27">
        <f>(Assumptions!$B$6*(1-Assumptions!$B$41-Assumptions!$B$43)-Assumptions!$B$42)-(Assumptions!$B$38+Assumptions!$B$39+Assumptions!$B$44*Assumptions!$B$45)-(($A10*(Assumptions!$B$23+Assumptions!$B$24+Assumptions!$B$25)/1024)+(Assumptions!$B$29*Assumptions!$B$26/1024))*((Assumptions!$B$16+Assumptions!$B$17+Assumptions!$B$18+Assumptions!$B$19)/30.44)*Assumptions!$B$34-(($A10*(Assumptions!$B$23+Assumptions!$B$24+Assumptions!$B$25)/1024)+(Assumptions!$B$29*Assumptions!$B$26/1024))*(Assumptions!$B$21/30.44)*Assumptions!$B$36-(($A10*(Assumptions!$B$23+Assumptions!$B$24+Assumptions!$B$25)/1024)+(Assumptions!$B$29*Assumptions!$B$26/1024))*Assumptions!$B$37-(($A10*Assumptions!$B$23/1024)*Assumptions!$B$31+($A10*Assumptions!$B$24/1024)*Assumptions!$B$32)*B$7</f>
        <v/>
      </c>
      <c r="C10" s="27">
        <f>(Assumptions!$B$6*(1-Assumptions!$B$41-Assumptions!$B$43)-Assumptions!$B$42)-(Assumptions!$B$38+Assumptions!$B$39+Assumptions!$B$44*Assumptions!$B$45)-(($A10*(Assumptions!$B$23+Assumptions!$B$24+Assumptions!$B$25)/1024)+(Assumptions!$B$29*Assumptions!$B$26/1024))*((Assumptions!$B$16+Assumptions!$B$17+Assumptions!$B$18+Assumptions!$B$19)/30.44)*Assumptions!$B$34-(($A10*(Assumptions!$B$23+Assumptions!$B$24+Assumptions!$B$25)/1024)+(Assumptions!$B$29*Assumptions!$B$26/1024))*(Assumptions!$B$21/30.44)*Assumptions!$B$36-(($A10*(Assumptions!$B$23+Assumptions!$B$24+Assumptions!$B$25)/1024)+(Assumptions!$B$29*Assumptions!$B$26/1024))*Assumptions!$B$37-(($A10*Assumptions!$B$23/1024)*Assumptions!$B$31+($A10*Assumptions!$B$24/1024)*Assumptions!$B$32)*C$7</f>
        <v/>
      </c>
      <c r="D10" s="27">
        <f>(Assumptions!$B$6*(1-Assumptions!$B$41-Assumptions!$B$43)-Assumptions!$B$42)-(Assumptions!$B$38+Assumptions!$B$39+Assumptions!$B$44*Assumptions!$B$45)-(($A10*(Assumptions!$B$23+Assumptions!$B$24+Assumptions!$B$25)/1024)+(Assumptions!$B$29*Assumptions!$B$26/1024))*((Assumptions!$B$16+Assumptions!$B$17+Assumptions!$B$18+Assumptions!$B$19)/30.44)*Assumptions!$B$34-(($A10*(Assumptions!$B$23+Assumptions!$B$24+Assumptions!$B$25)/1024)+(Assumptions!$B$29*Assumptions!$B$26/1024))*(Assumptions!$B$21/30.44)*Assumptions!$B$36-(($A10*(Assumptions!$B$23+Assumptions!$B$24+Assumptions!$B$25)/1024)+(Assumptions!$B$29*Assumptions!$B$26/1024))*Assumptions!$B$37-(($A10*Assumptions!$B$23/1024)*Assumptions!$B$31+($A10*Assumptions!$B$24/1024)*Assumptions!$B$32)*D$7</f>
        <v/>
      </c>
      <c r="E10" s="27">
        <f>(Assumptions!$B$6*(1-Assumptions!$B$41-Assumptions!$B$43)-Assumptions!$B$42)-(Assumptions!$B$38+Assumptions!$B$39+Assumptions!$B$44*Assumptions!$B$45)-(($A10*(Assumptions!$B$23+Assumptions!$B$24+Assumptions!$B$25)/1024)+(Assumptions!$B$29*Assumptions!$B$26/1024))*((Assumptions!$B$16+Assumptions!$B$17+Assumptions!$B$18+Assumptions!$B$19)/30.44)*Assumptions!$B$34-(($A10*(Assumptions!$B$23+Assumptions!$B$24+Assumptions!$B$25)/1024)+(Assumptions!$B$29*Assumptions!$B$26/1024))*(Assumptions!$B$21/30.44)*Assumptions!$B$36-(($A10*(Assumptions!$B$23+Assumptions!$B$24+Assumptions!$B$25)/1024)+(Assumptions!$B$29*Assumptions!$B$26/1024))*Assumptions!$B$37-(($A10*Assumptions!$B$23/1024)*Assumptions!$B$31+($A10*Assumptions!$B$24/1024)*Assumptions!$B$32)*E$7</f>
        <v/>
      </c>
      <c r="F10" s="27">
        <f>(Assumptions!$B$6*(1-Assumptions!$B$41-Assumptions!$B$43)-Assumptions!$B$42)-(Assumptions!$B$38+Assumptions!$B$39+Assumptions!$B$44*Assumptions!$B$45)-(($A10*(Assumptions!$B$23+Assumptions!$B$24+Assumptions!$B$25)/1024)+(Assumptions!$B$29*Assumptions!$B$26/1024))*((Assumptions!$B$16+Assumptions!$B$17+Assumptions!$B$18+Assumptions!$B$19)/30.44)*Assumptions!$B$34-(($A10*(Assumptions!$B$23+Assumptions!$B$24+Assumptions!$B$25)/1024)+(Assumptions!$B$29*Assumptions!$B$26/1024))*(Assumptions!$B$21/30.44)*Assumptions!$B$36-(($A10*(Assumptions!$B$23+Assumptions!$B$24+Assumptions!$B$25)/1024)+(Assumptions!$B$29*Assumptions!$B$26/1024))*Assumptions!$B$37-(($A10*Assumptions!$B$23/1024)*Assumptions!$B$31+($A10*Assumptions!$B$24/1024)*Assumptions!$B$32)*F$7</f>
        <v/>
      </c>
      <c r="G10" s="27">
        <f>(Assumptions!$B$6*(1-Assumptions!$B$41-Assumptions!$B$43)-Assumptions!$B$42)-(Assumptions!$B$38+Assumptions!$B$39+Assumptions!$B$44*Assumptions!$B$45)-(($A10*(Assumptions!$B$23+Assumptions!$B$24+Assumptions!$B$25)/1024)+(Assumptions!$B$29*Assumptions!$B$26/1024))*((Assumptions!$B$16+Assumptions!$B$17+Assumptions!$B$18+Assumptions!$B$19)/30.44)*Assumptions!$B$34-(($A10*(Assumptions!$B$23+Assumptions!$B$24+Assumptions!$B$25)/1024)+(Assumptions!$B$29*Assumptions!$B$26/1024))*(Assumptions!$B$21/30.44)*Assumptions!$B$36-(($A10*(Assumptions!$B$23+Assumptions!$B$24+Assumptions!$B$25)/1024)+(Assumptions!$B$29*Assumptions!$B$26/1024))*Assumptions!$B$37-(($A10*Assumptions!$B$23/1024)*Assumptions!$B$31+($A10*Assumptions!$B$24/1024)*Assumptions!$B$32)*G$7</f>
        <v/>
      </c>
    </row>
    <row r="11">
      <c r="A11" s="14" t="n">
        <v>2000</v>
      </c>
      <c r="B11" s="27">
        <f>(Assumptions!$B$6*(1-Assumptions!$B$41-Assumptions!$B$43)-Assumptions!$B$42)-(Assumptions!$B$38+Assumptions!$B$39+Assumptions!$B$44*Assumptions!$B$45)-(($A11*(Assumptions!$B$23+Assumptions!$B$24+Assumptions!$B$25)/1024)+(Assumptions!$B$29*Assumptions!$B$26/1024))*((Assumptions!$B$16+Assumptions!$B$17+Assumptions!$B$18+Assumptions!$B$19)/30.44)*Assumptions!$B$34-(($A11*(Assumptions!$B$23+Assumptions!$B$24+Assumptions!$B$25)/1024)+(Assumptions!$B$29*Assumptions!$B$26/1024))*(Assumptions!$B$21/30.44)*Assumptions!$B$36-(($A11*(Assumptions!$B$23+Assumptions!$B$24+Assumptions!$B$25)/1024)+(Assumptions!$B$29*Assumptions!$B$26/1024))*Assumptions!$B$37-(($A11*Assumptions!$B$23/1024)*Assumptions!$B$31+($A11*Assumptions!$B$24/1024)*Assumptions!$B$32)*B$7</f>
        <v/>
      </c>
      <c r="C11" s="27">
        <f>(Assumptions!$B$6*(1-Assumptions!$B$41-Assumptions!$B$43)-Assumptions!$B$42)-(Assumptions!$B$38+Assumptions!$B$39+Assumptions!$B$44*Assumptions!$B$45)-(($A11*(Assumptions!$B$23+Assumptions!$B$24+Assumptions!$B$25)/1024)+(Assumptions!$B$29*Assumptions!$B$26/1024))*((Assumptions!$B$16+Assumptions!$B$17+Assumptions!$B$18+Assumptions!$B$19)/30.44)*Assumptions!$B$34-(($A11*(Assumptions!$B$23+Assumptions!$B$24+Assumptions!$B$25)/1024)+(Assumptions!$B$29*Assumptions!$B$26/1024))*(Assumptions!$B$21/30.44)*Assumptions!$B$36-(($A11*(Assumptions!$B$23+Assumptions!$B$24+Assumptions!$B$25)/1024)+(Assumptions!$B$29*Assumptions!$B$26/1024))*Assumptions!$B$37-(($A11*Assumptions!$B$23/1024)*Assumptions!$B$31+($A11*Assumptions!$B$24/1024)*Assumptions!$B$32)*C$7</f>
        <v/>
      </c>
      <c r="D11" s="27">
        <f>(Assumptions!$B$6*(1-Assumptions!$B$41-Assumptions!$B$43)-Assumptions!$B$42)-(Assumptions!$B$38+Assumptions!$B$39+Assumptions!$B$44*Assumptions!$B$45)-(($A11*(Assumptions!$B$23+Assumptions!$B$24+Assumptions!$B$25)/1024)+(Assumptions!$B$29*Assumptions!$B$26/1024))*((Assumptions!$B$16+Assumptions!$B$17+Assumptions!$B$18+Assumptions!$B$19)/30.44)*Assumptions!$B$34-(($A11*(Assumptions!$B$23+Assumptions!$B$24+Assumptions!$B$25)/1024)+(Assumptions!$B$29*Assumptions!$B$26/1024))*(Assumptions!$B$21/30.44)*Assumptions!$B$36-(($A11*(Assumptions!$B$23+Assumptions!$B$24+Assumptions!$B$25)/1024)+(Assumptions!$B$29*Assumptions!$B$26/1024))*Assumptions!$B$37-(($A11*Assumptions!$B$23/1024)*Assumptions!$B$31+($A11*Assumptions!$B$24/1024)*Assumptions!$B$32)*D$7</f>
        <v/>
      </c>
      <c r="E11" s="27">
        <f>(Assumptions!$B$6*(1-Assumptions!$B$41-Assumptions!$B$43)-Assumptions!$B$42)-(Assumptions!$B$38+Assumptions!$B$39+Assumptions!$B$44*Assumptions!$B$45)-(($A11*(Assumptions!$B$23+Assumptions!$B$24+Assumptions!$B$25)/1024)+(Assumptions!$B$29*Assumptions!$B$26/1024))*((Assumptions!$B$16+Assumptions!$B$17+Assumptions!$B$18+Assumptions!$B$19)/30.44)*Assumptions!$B$34-(($A11*(Assumptions!$B$23+Assumptions!$B$24+Assumptions!$B$25)/1024)+(Assumptions!$B$29*Assumptions!$B$26/1024))*(Assumptions!$B$21/30.44)*Assumptions!$B$36-(($A11*(Assumptions!$B$23+Assumptions!$B$24+Assumptions!$B$25)/1024)+(Assumptions!$B$29*Assumptions!$B$26/1024))*Assumptions!$B$37-(($A11*Assumptions!$B$23/1024)*Assumptions!$B$31+($A11*Assumptions!$B$24/1024)*Assumptions!$B$32)*E$7</f>
        <v/>
      </c>
      <c r="F11" s="27">
        <f>(Assumptions!$B$6*(1-Assumptions!$B$41-Assumptions!$B$43)-Assumptions!$B$42)-(Assumptions!$B$38+Assumptions!$B$39+Assumptions!$B$44*Assumptions!$B$45)-(($A11*(Assumptions!$B$23+Assumptions!$B$24+Assumptions!$B$25)/1024)+(Assumptions!$B$29*Assumptions!$B$26/1024))*((Assumptions!$B$16+Assumptions!$B$17+Assumptions!$B$18+Assumptions!$B$19)/30.44)*Assumptions!$B$34-(($A11*(Assumptions!$B$23+Assumptions!$B$24+Assumptions!$B$25)/1024)+(Assumptions!$B$29*Assumptions!$B$26/1024))*(Assumptions!$B$21/30.44)*Assumptions!$B$36-(($A11*(Assumptions!$B$23+Assumptions!$B$24+Assumptions!$B$25)/1024)+(Assumptions!$B$29*Assumptions!$B$26/1024))*Assumptions!$B$37-(($A11*Assumptions!$B$23/1024)*Assumptions!$B$31+($A11*Assumptions!$B$24/1024)*Assumptions!$B$32)*F$7</f>
        <v/>
      </c>
      <c r="G11" s="27">
        <f>(Assumptions!$B$6*(1-Assumptions!$B$41-Assumptions!$B$43)-Assumptions!$B$42)-(Assumptions!$B$38+Assumptions!$B$39+Assumptions!$B$44*Assumptions!$B$45)-(($A11*(Assumptions!$B$23+Assumptions!$B$24+Assumptions!$B$25)/1024)+(Assumptions!$B$29*Assumptions!$B$26/1024))*((Assumptions!$B$16+Assumptions!$B$17+Assumptions!$B$18+Assumptions!$B$19)/30.44)*Assumptions!$B$34-(($A11*(Assumptions!$B$23+Assumptions!$B$24+Assumptions!$B$25)/1024)+(Assumptions!$B$29*Assumptions!$B$26/1024))*(Assumptions!$B$21/30.44)*Assumptions!$B$36-(($A11*(Assumptions!$B$23+Assumptions!$B$24+Assumptions!$B$25)/1024)+(Assumptions!$B$29*Assumptions!$B$26/1024))*Assumptions!$B$37-(($A11*Assumptions!$B$23/1024)*Assumptions!$B$31+($A11*Assumptions!$B$24/1024)*Assumptions!$B$32)*G$7</f>
        <v/>
      </c>
    </row>
    <row r="12">
      <c r="A12" s="14" t="n">
        <v>3000</v>
      </c>
      <c r="B12" s="27">
        <f>(Assumptions!$B$6*(1-Assumptions!$B$41-Assumptions!$B$43)-Assumptions!$B$42)-(Assumptions!$B$38+Assumptions!$B$39+Assumptions!$B$44*Assumptions!$B$45)-(($A12*(Assumptions!$B$23+Assumptions!$B$24+Assumptions!$B$25)/1024)+(Assumptions!$B$29*Assumptions!$B$26/1024))*((Assumptions!$B$16+Assumptions!$B$17+Assumptions!$B$18+Assumptions!$B$19)/30.44)*Assumptions!$B$34-(($A12*(Assumptions!$B$23+Assumptions!$B$24+Assumptions!$B$25)/1024)+(Assumptions!$B$29*Assumptions!$B$26/1024))*(Assumptions!$B$21/30.44)*Assumptions!$B$36-(($A12*(Assumptions!$B$23+Assumptions!$B$24+Assumptions!$B$25)/1024)+(Assumptions!$B$29*Assumptions!$B$26/1024))*Assumptions!$B$37-(($A12*Assumptions!$B$23/1024)*Assumptions!$B$31+($A12*Assumptions!$B$24/1024)*Assumptions!$B$32)*B$7</f>
        <v/>
      </c>
      <c r="C12" s="27">
        <f>(Assumptions!$B$6*(1-Assumptions!$B$41-Assumptions!$B$43)-Assumptions!$B$42)-(Assumptions!$B$38+Assumptions!$B$39+Assumptions!$B$44*Assumptions!$B$45)-(($A12*(Assumptions!$B$23+Assumptions!$B$24+Assumptions!$B$25)/1024)+(Assumptions!$B$29*Assumptions!$B$26/1024))*((Assumptions!$B$16+Assumptions!$B$17+Assumptions!$B$18+Assumptions!$B$19)/30.44)*Assumptions!$B$34-(($A12*(Assumptions!$B$23+Assumptions!$B$24+Assumptions!$B$25)/1024)+(Assumptions!$B$29*Assumptions!$B$26/1024))*(Assumptions!$B$21/30.44)*Assumptions!$B$36-(($A12*(Assumptions!$B$23+Assumptions!$B$24+Assumptions!$B$25)/1024)+(Assumptions!$B$29*Assumptions!$B$26/1024))*Assumptions!$B$37-(($A12*Assumptions!$B$23/1024)*Assumptions!$B$31+($A12*Assumptions!$B$24/1024)*Assumptions!$B$32)*C$7</f>
        <v/>
      </c>
      <c r="D12" s="27">
        <f>(Assumptions!$B$6*(1-Assumptions!$B$41-Assumptions!$B$43)-Assumptions!$B$42)-(Assumptions!$B$38+Assumptions!$B$39+Assumptions!$B$44*Assumptions!$B$45)-(($A12*(Assumptions!$B$23+Assumptions!$B$24+Assumptions!$B$25)/1024)+(Assumptions!$B$29*Assumptions!$B$26/1024))*((Assumptions!$B$16+Assumptions!$B$17+Assumptions!$B$18+Assumptions!$B$19)/30.44)*Assumptions!$B$34-(($A12*(Assumptions!$B$23+Assumptions!$B$24+Assumptions!$B$25)/1024)+(Assumptions!$B$29*Assumptions!$B$26/1024))*(Assumptions!$B$21/30.44)*Assumptions!$B$36-(($A12*(Assumptions!$B$23+Assumptions!$B$24+Assumptions!$B$25)/1024)+(Assumptions!$B$29*Assumptions!$B$26/1024))*Assumptions!$B$37-(($A12*Assumptions!$B$23/1024)*Assumptions!$B$31+($A12*Assumptions!$B$24/1024)*Assumptions!$B$32)*D$7</f>
        <v/>
      </c>
      <c r="E12" s="27">
        <f>(Assumptions!$B$6*(1-Assumptions!$B$41-Assumptions!$B$43)-Assumptions!$B$42)-(Assumptions!$B$38+Assumptions!$B$39+Assumptions!$B$44*Assumptions!$B$45)-(($A12*(Assumptions!$B$23+Assumptions!$B$24+Assumptions!$B$25)/1024)+(Assumptions!$B$29*Assumptions!$B$26/1024))*((Assumptions!$B$16+Assumptions!$B$17+Assumptions!$B$18+Assumptions!$B$19)/30.44)*Assumptions!$B$34-(($A12*(Assumptions!$B$23+Assumptions!$B$24+Assumptions!$B$25)/1024)+(Assumptions!$B$29*Assumptions!$B$26/1024))*(Assumptions!$B$21/30.44)*Assumptions!$B$36-(($A12*(Assumptions!$B$23+Assumptions!$B$24+Assumptions!$B$25)/1024)+(Assumptions!$B$29*Assumptions!$B$26/1024))*Assumptions!$B$37-(($A12*Assumptions!$B$23/1024)*Assumptions!$B$31+($A12*Assumptions!$B$24/1024)*Assumptions!$B$32)*E$7</f>
        <v/>
      </c>
      <c r="F12" s="27">
        <f>(Assumptions!$B$6*(1-Assumptions!$B$41-Assumptions!$B$43)-Assumptions!$B$42)-(Assumptions!$B$38+Assumptions!$B$39+Assumptions!$B$44*Assumptions!$B$45)-(($A12*(Assumptions!$B$23+Assumptions!$B$24+Assumptions!$B$25)/1024)+(Assumptions!$B$29*Assumptions!$B$26/1024))*((Assumptions!$B$16+Assumptions!$B$17+Assumptions!$B$18+Assumptions!$B$19)/30.44)*Assumptions!$B$34-(($A12*(Assumptions!$B$23+Assumptions!$B$24+Assumptions!$B$25)/1024)+(Assumptions!$B$29*Assumptions!$B$26/1024))*(Assumptions!$B$21/30.44)*Assumptions!$B$36-(($A12*(Assumptions!$B$23+Assumptions!$B$24+Assumptions!$B$25)/1024)+(Assumptions!$B$29*Assumptions!$B$26/1024))*Assumptions!$B$37-(($A12*Assumptions!$B$23/1024)*Assumptions!$B$31+($A12*Assumptions!$B$24/1024)*Assumptions!$B$32)*F$7</f>
        <v/>
      </c>
      <c r="G12" s="27">
        <f>(Assumptions!$B$6*(1-Assumptions!$B$41-Assumptions!$B$43)-Assumptions!$B$42)-(Assumptions!$B$38+Assumptions!$B$39+Assumptions!$B$44*Assumptions!$B$45)-(($A12*(Assumptions!$B$23+Assumptions!$B$24+Assumptions!$B$25)/1024)+(Assumptions!$B$29*Assumptions!$B$26/1024))*((Assumptions!$B$16+Assumptions!$B$17+Assumptions!$B$18+Assumptions!$B$19)/30.44)*Assumptions!$B$34-(($A12*(Assumptions!$B$23+Assumptions!$B$24+Assumptions!$B$25)/1024)+(Assumptions!$B$29*Assumptions!$B$26/1024))*(Assumptions!$B$21/30.44)*Assumptions!$B$36-(($A12*(Assumptions!$B$23+Assumptions!$B$24+Assumptions!$B$25)/1024)+(Assumptions!$B$29*Assumptions!$B$26/1024))*Assumptions!$B$37-(($A12*Assumptions!$B$23/1024)*Assumptions!$B$31+($A12*Assumptions!$B$24/1024)*Assumptions!$B$32)*G$7</f>
        <v/>
      </c>
    </row>
    <row r="13">
      <c r="A13" s="14" t="n">
        <v>5000</v>
      </c>
      <c r="B13" s="27">
        <f>(Assumptions!$B$6*(1-Assumptions!$B$41-Assumptions!$B$43)-Assumptions!$B$42)-(Assumptions!$B$38+Assumptions!$B$39+Assumptions!$B$44*Assumptions!$B$45)-(($A13*(Assumptions!$B$23+Assumptions!$B$24+Assumptions!$B$25)/1024)+(Assumptions!$B$29*Assumptions!$B$26/1024))*((Assumptions!$B$16+Assumptions!$B$17+Assumptions!$B$18+Assumptions!$B$19)/30.44)*Assumptions!$B$34-(($A13*(Assumptions!$B$23+Assumptions!$B$24+Assumptions!$B$25)/1024)+(Assumptions!$B$29*Assumptions!$B$26/1024))*(Assumptions!$B$21/30.44)*Assumptions!$B$36-(($A13*(Assumptions!$B$23+Assumptions!$B$24+Assumptions!$B$25)/1024)+(Assumptions!$B$29*Assumptions!$B$26/1024))*Assumptions!$B$37-(($A13*Assumptions!$B$23/1024)*Assumptions!$B$31+($A13*Assumptions!$B$24/1024)*Assumptions!$B$32)*B$7</f>
        <v/>
      </c>
      <c r="C13" s="27">
        <f>(Assumptions!$B$6*(1-Assumptions!$B$41-Assumptions!$B$43)-Assumptions!$B$42)-(Assumptions!$B$38+Assumptions!$B$39+Assumptions!$B$44*Assumptions!$B$45)-(($A13*(Assumptions!$B$23+Assumptions!$B$24+Assumptions!$B$25)/1024)+(Assumptions!$B$29*Assumptions!$B$26/1024))*((Assumptions!$B$16+Assumptions!$B$17+Assumptions!$B$18+Assumptions!$B$19)/30.44)*Assumptions!$B$34-(($A13*(Assumptions!$B$23+Assumptions!$B$24+Assumptions!$B$25)/1024)+(Assumptions!$B$29*Assumptions!$B$26/1024))*(Assumptions!$B$21/30.44)*Assumptions!$B$36-(($A13*(Assumptions!$B$23+Assumptions!$B$24+Assumptions!$B$25)/1024)+(Assumptions!$B$29*Assumptions!$B$26/1024))*Assumptions!$B$37-(($A13*Assumptions!$B$23/1024)*Assumptions!$B$31+($A13*Assumptions!$B$24/1024)*Assumptions!$B$32)*C$7</f>
        <v/>
      </c>
      <c r="D13" s="27">
        <f>(Assumptions!$B$6*(1-Assumptions!$B$41-Assumptions!$B$43)-Assumptions!$B$42)-(Assumptions!$B$38+Assumptions!$B$39+Assumptions!$B$44*Assumptions!$B$45)-(($A13*(Assumptions!$B$23+Assumptions!$B$24+Assumptions!$B$25)/1024)+(Assumptions!$B$29*Assumptions!$B$26/1024))*((Assumptions!$B$16+Assumptions!$B$17+Assumptions!$B$18+Assumptions!$B$19)/30.44)*Assumptions!$B$34-(($A13*(Assumptions!$B$23+Assumptions!$B$24+Assumptions!$B$25)/1024)+(Assumptions!$B$29*Assumptions!$B$26/1024))*(Assumptions!$B$21/30.44)*Assumptions!$B$36-(($A13*(Assumptions!$B$23+Assumptions!$B$24+Assumptions!$B$25)/1024)+(Assumptions!$B$29*Assumptions!$B$26/1024))*Assumptions!$B$37-(($A13*Assumptions!$B$23/1024)*Assumptions!$B$31+($A13*Assumptions!$B$24/1024)*Assumptions!$B$32)*D$7</f>
        <v/>
      </c>
      <c r="E13" s="27">
        <f>(Assumptions!$B$6*(1-Assumptions!$B$41-Assumptions!$B$43)-Assumptions!$B$42)-(Assumptions!$B$38+Assumptions!$B$39+Assumptions!$B$44*Assumptions!$B$45)-(($A13*(Assumptions!$B$23+Assumptions!$B$24+Assumptions!$B$25)/1024)+(Assumptions!$B$29*Assumptions!$B$26/1024))*((Assumptions!$B$16+Assumptions!$B$17+Assumptions!$B$18+Assumptions!$B$19)/30.44)*Assumptions!$B$34-(($A13*(Assumptions!$B$23+Assumptions!$B$24+Assumptions!$B$25)/1024)+(Assumptions!$B$29*Assumptions!$B$26/1024))*(Assumptions!$B$21/30.44)*Assumptions!$B$36-(($A13*(Assumptions!$B$23+Assumptions!$B$24+Assumptions!$B$25)/1024)+(Assumptions!$B$29*Assumptions!$B$26/1024))*Assumptions!$B$37-(($A13*Assumptions!$B$23/1024)*Assumptions!$B$31+($A13*Assumptions!$B$24/1024)*Assumptions!$B$32)*E$7</f>
        <v/>
      </c>
      <c r="F13" s="27">
        <f>(Assumptions!$B$6*(1-Assumptions!$B$41-Assumptions!$B$43)-Assumptions!$B$42)-(Assumptions!$B$38+Assumptions!$B$39+Assumptions!$B$44*Assumptions!$B$45)-(($A13*(Assumptions!$B$23+Assumptions!$B$24+Assumptions!$B$25)/1024)+(Assumptions!$B$29*Assumptions!$B$26/1024))*((Assumptions!$B$16+Assumptions!$B$17+Assumptions!$B$18+Assumptions!$B$19)/30.44)*Assumptions!$B$34-(($A13*(Assumptions!$B$23+Assumptions!$B$24+Assumptions!$B$25)/1024)+(Assumptions!$B$29*Assumptions!$B$26/1024))*(Assumptions!$B$21/30.44)*Assumptions!$B$36-(($A13*(Assumptions!$B$23+Assumptions!$B$24+Assumptions!$B$25)/1024)+(Assumptions!$B$29*Assumptions!$B$26/1024))*Assumptions!$B$37-(($A13*Assumptions!$B$23/1024)*Assumptions!$B$31+($A13*Assumptions!$B$24/1024)*Assumptions!$B$32)*F$7</f>
        <v/>
      </c>
      <c r="G13" s="27">
        <f>(Assumptions!$B$6*(1-Assumptions!$B$41-Assumptions!$B$43)-Assumptions!$B$42)-(Assumptions!$B$38+Assumptions!$B$39+Assumptions!$B$44*Assumptions!$B$45)-(($A13*(Assumptions!$B$23+Assumptions!$B$24+Assumptions!$B$25)/1024)+(Assumptions!$B$29*Assumptions!$B$26/1024))*((Assumptions!$B$16+Assumptions!$B$17+Assumptions!$B$18+Assumptions!$B$19)/30.44)*Assumptions!$B$34-(($A13*(Assumptions!$B$23+Assumptions!$B$24+Assumptions!$B$25)/1024)+(Assumptions!$B$29*Assumptions!$B$26/1024))*(Assumptions!$B$21/30.44)*Assumptions!$B$36-(($A13*(Assumptions!$B$23+Assumptions!$B$24+Assumptions!$B$25)/1024)+(Assumptions!$B$29*Assumptions!$B$26/1024))*Assumptions!$B$37-(($A13*Assumptions!$B$23/1024)*Assumptions!$B$31+($A13*Assumptions!$B$24/1024)*Assumptions!$B$32)*G$7</f>
        <v/>
      </c>
    </row>
    <row r="14">
      <c r="A14" s="14" t="n">
        <v>10000</v>
      </c>
      <c r="B14" s="27">
        <f>(Assumptions!$B$6*(1-Assumptions!$B$41-Assumptions!$B$43)-Assumptions!$B$42)-(Assumptions!$B$38+Assumptions!$B$39+Assumptions!$B$44*Assumptions!$B$45)-(($A14*(Assumptions!$B$23+Assumptions!$B$24+Assumptions!$B$25)/1024)+(Assumptions!$B$29*Assumptions!$B$26/1024))*((Assumptions!$B$16+Assumptions!$B$17+Assumptions!$B$18+Assumptions!$B$19)/30.44)*Assumptions!$B$34-(($A14*(Assumptions!$B$23+Assumptions!$B$24+Assumptions!$B$25)/1024)+(Assumptions!$B$29*Assumptions!$B$26/1024))*(Assumptions!$B$21/30.44)*Assumptions!$B$36-(($A14*(Assumptions!$B$23+Assumptions!$B$24+Assumptions!$B$25)/1024)+(Assumptions!$B$29*Assumptions!$B$26/1024))*Assumptions!$B$37-(($A14*Assumptions!$B$23/1024)*Assumptions!$B$31+($A14*Assumptions!$B$24/1024)*Assumptions!$B$32)*B$7</f>
        <v/>
      </c>
      <c r="C14" s="27">
        <f>(Assumptions!$B$6*(1-Assumptions!$B$41-Assumptions!$B$43)-Assumptions!$B$42)-(Assumptions!$B$38+Assumptions!$B$39+Assumptions!$B$44*Assumptions!$B$45)-(($A14*(Assumptions!$B$23+Assumptions!$B$24+Assumptions!$B$25)/1024)+(Assumptions!$B$29*Assumptions!$B$26/1024))*((Assumptions!$B$16+Assumptions!$B$17+Assumptions!$B$18+Assumptions!$B$19)/30.44)*Assumptions!$B$34-(($A14*(Assumptions!$B$23+Assumptions!$B$24+Assumptions!$B$25)/1024)+(Assumptions!$B$29*Assumptions!$B$26/1024))*(Assumptions!$B$21/30.44)*Assumptions!$B$36-(($A14*(Assumptions!$B$23+Assumptions!$B$24+Assumptions!$B$25)/1024)+(Assumptions!$B$29*Assumptions!$B$26/1024))*Assumptions!$B$37-(($A14*Assumptions!$B$23/1024)*Assumptions!$B$31+($A14*Assumptions!$B$24/1024)*Assumptions!$B$32)*C$7</f>
        <v/>
      </c>
      <c r="D14" s="27">
        <f>(Assumptions!$B$6*(1-Assumptions!$B$41-Assumptions!$B$43)-Assumptions!$B$42)-(Assumptions!$B$38+Assumptions!$B$39+Assumptions!$B$44*Assumptions!$B$45)-(($A14*(Assumptions!$B$23+Assumptions!$B$24+Assumptions!$B$25)/1024)+(Assumptions!$B$29*Assumptions!$B$26/1024))*((Assumptions!$B$16+Assumptions!$B$17+Assumptions!$B$18+Assumptions!$B$19)/30.44)*Assumptions!$B$34-(($A14*(Assumptions!$B$23+Assumptions!$B$24+Assumptions!$B$25)/1024)+(Assumptions!$B$29*Assumptions!$B$26/1024))*(Assumptions!$B$21/30.44)*Assumptions!$B$36-(($A14*(Assumptions!$B$23+Assumptions!$B$24+Assumptions!$B$25)/1024)+(Assumptions!$B$29*Assumptions!$B$26/1024))*Assumptions!$B$37-(($A14*Assumptions!$B$23/1024)*Assumptions!$B$31+($A14*Assumptions!$B$24/1024)*Assumptions!$B$32)*D$7</f>
        <v/>
      </c>
      <c r="E14" s="27">
        <f>(Assumptions!$B$6*(1-Assumptions!$B$41-Assumptions!$B$43)-Assumptions!$B$42)-(Assumptions!$B$38+Assumptions!$B$39+Assumptions!$B$44*Assumptions!$B$45)-(($A14*(Assumptions!$B$23+Assumptions!$B$24+Assumptions!$B$25)/1024)+(Assumptions!$B$29*Assumptions!$B$26/1024))*((Assumptions!$B$16+Assumptions!$B$17+Assumptions!$B$18+Assumptions!$B$19)/30.44)*Assumptions!$B$34-(($A14*(Assumptions!$B$23+Assumptions!$B$24+Assumptions!$B$25)/1024)+(Assumptions!$B$29*Assumptions!$B$26/1024))*(Assumptions!$B$21/30.44)*Assumptions!$B$36-(($A14*(Assumptions!$B$23+Assumptions!$B$24+Assumptions!$B$25)/1024)+(Assumptions!$B$29*Assumptions!$B$26/1024))*Assumptions!$B$37-(($A14*Assumptions!$B$23/1024)*Assumptions!$B$31+($A14*Assumptions!$B$24/1024)*Assumptions!$B$32)*E$7</f>
        <v/>
      </c>
      <c r="F14" s="27">
        <f>(Assumptions!$B$6*(1-Assumptions!$B$41-Assumptions!$B$43)-Assumptions!$B$42)-(Assumptions!$B$38+Assumptions!$B$39+Assumptions!$B$44*Assumptions!$B$45)-(($A14*(Assumptions!$B$23+Assumptions!$B$24+Assumptions!$B$25)/1024)+(Assumptions!$B$29*Assumptions!$B$26/1024))*((Assumptions!$B$16+Assumptions!$B$17+Assumptions!$B$18+Assumptions!$B$19)/30.44)*Assumptions!$B$34-(($A14*(Assumptions!$B$23+Assumptions!$B$24+Assumptions!$B$25)/1024)+(Assumptions!$B$29*Assumptions!$B$26/1024))*(Assumptions!$B$21/30.44)*Assumptions!$B$36-(($A14*(Assumptions!$B$23+Assumptions!$B$24+Assumptions!$B$25)/1024)+(Assumptions!$B$29*Assumptions!$B$26/1024))*Assumptions!$B$37-(($A14*Assumptions!$B$23/1024)*Assumptions!$B$31+($A14*Assumptions!$B$24/1024)*Assumptions!$B$32)*F$7</f>
        <v/>
      </c>
      <c r="G14" s="27">
        <f>(Assumptions!$B$6*(1-Assumptions!$B$41-Assumptions!$B$43)-Assumptions!$B$42)-(Assumptions!$B$38+Assumptions!$B$39+Assumptions!$B$44*Assumptions!$B$45)-(($A14*(Assumptions!$B$23+Assumptions!$B$24+Assumptions!$B$25)/1024)+(Assumptions!$B$29*Assumptions!$B$26/1024))*((Assumptions!$B$16+Assumptions!$B$17+Assumptions!$B$18+Assumptions!$B$19)/30.44)*Assumptions!$B$34-(($A14*(Assumptions!$B$23+Assumptions!$B$24+Assumptions!$B$25)/1024)+(Assumptions!$B$29*Assumptions!$B$26/1024))*(Assumptions!$B$21/30.44)*Assumptions!$B$36-(($A14*(Assumptions!$B$23+Assumptions!$B$24+Assumptions!$B$25)/1024)+(Assumptions!$B$29*Assumptions!$B$26/1024))*Assumptions!$B$37-(($A14*Assumptions!$B$23/1024)*Assumptions!$B$31+($A14*Assumptions!$B$24/1024)*Assumptions!$B$32)*G$7</f>
        <v/>
      </c>
    </row>
    <row r="15">
      <c r="A15" s="14" t="n">
        <v>20000</v>
      </c>
      <c r="B15" s="27">
        <f>(Assumptions!$B$6*(1-Assumptions!$B$41-Assumptions!$B$43)-Assumptions!$B$42)-(Assumptions!$B$38+Assumptions!$B$39+Assumptions!$B$44*Assumptions!$B$45)-(($A15*(Assumptions!$B$23+Assumptions!$B$24+Assumptions!$B$25)/1024)+(Assumptions!$B$29*Assumptions!$B$26/1024))*((Assumptions!$B$16+Assumptions!$B$17+Assumptions!$B$18+Assumptions!$B$19)/30.44)*Assumptions!$B$34-(($A15*(Assumptions!$B$23+Assumptions!$B$24+Assumptions!$B$25)/1024)+(Assumptions!$B$29*Assumptions!$B$26/1024))*(Assumptions!$B$21/30.44)*Assumptions!$B$36-(($A15*(Assumptions!$B$23+Assumptions!$B$24+Assumptions!$B$25)/1024)+(Assumptions!$B$29*Assumptions!$B$26/1024))*Assumptions!$B$37-(($A15*Assumptions!$B$23/1024)*Assumptions!$B$31+($A15*Assumptions!$B$24/1024)*Assumptions!$B$32)*B$7</f>
        <v/>
      </c>
      <c r="C15" s="27">
        <f>(Assumptions!$B$6*(1-Assumptions!$B$41-Assumptions!$B$43)-Assumptions!$B$42)-(Assumptions!$B$38+Assumptions!$B$39+Assumptions!$B$44*Assumptions!$B$45)-(($A15*(Assumptions!$B$23+Assumptions!$B$24+Assumptions!$B$25)/1024)+(Assumptions!$B$29*Assumptions!$B$26/1024))*((Assumptions!$B$16+Assumptions!$B$17+Assumptions!$B$18+Assumptions!$B$19)/30.44)*Assumptions!$B$34-(($A15*(Assumptions!$B$23+Assumptions!$B$24+Assumptions!$B$25)/1024)+(Assumptions!$B$29*Assumptions!$B$26/1024))*(Assumptions!$B$21/30.44)*Assumptions!$B$36-(($A15*(Assumptions!$B$23+Assumptions!$B$24+Assumptions!$B$25)/1024)+(Assumptions!$B$29*Assumptions!$B$26/1024))*Assumptions!$B$37-(($A15*Assumptions!$B$23/1024)*Assumptions!$B$31+($A15*Assumptions!$B$24/1024)*Assumptions!$B$32)*C$7</f>
        <v/>
      </c>
      <c r="D15" s="27">
        <f>(Assumptions!$B$6*(1-Assumptions!$B$41-Assumptions!$B$43)-Assumptions!$B$42)-(Assumptions!$B$38+Assumptions!$B$39+Assumptions!$B$44*Assumptions!$B$45)-(($A15*(Assumptions!$B$23+Assumptions!$B$24+Assumptions!$B$25)/1024)+(Assumptions!$B$29*Assumptions!$B$26/1024))*((Assumptions!$B$16+Assumptions!$B$17+Assumptions!$B$18+Assumptions!$B$19)/30.44)*Assumptions!$B$34-(($A15*(Assumptions!$B$23+Assumptions!$B$24+Assumptions!$B$25)/1024)+(Assumptions!$B$29*Assumptions!$B$26/1024))*(Assumptions!$B$21/30.44)*Assumptions!$B$36-(($A15*(Assumptions!$B$23+Assumptions!$B$24+Assumptions!$B$25)/1024)+(Assumptions!$B$29*Assumptions!$B$26/1024))*Assumptions!$B$37-(($A15*Assumptions!$B$23/1024)*Assumptions!$B$31+($A15*Assumptions!$B$24/1024)*Assumptions!$B$32)*D$7</f>
        <v/>
      </c>
      <c r="E15" s="27">
        <f>(Assumptions!$B$6*(1-Assumptions!$B$41-Assumptions!$B$43)-Assumptions!$B$42)-(Assumptions!$B$38+Assumptions!$B$39+Assumptions!$B$44*Assumptions!$B$45)-(($A15*(Assumptions!$B$23+Assumptions!$B$24+Assumptions!$B$25)/1024)+(Assumptions!$B$29*Assumptions!$B$26/1024))*((Assumptions!$B$16+Assumptions!$B$17+Assumptions!$B$18+Assumptions!$B$19)/30.44)*Assumptions!$B$34-(($A15*(Assumptions!$B$23+Assumptions!$B$24+Assumptions!$B$25)/1024)+(Assumptions!$B$29*Assumptions!$B$26/1024))*(Assumptions!$B$21/30.44)*Assumptions!$B$36-(($A15*(Assumptions!$B$23+Assumptions!$B$24+Assumptions!$B$25)/1024)+(Assumptions!$B$29*Assumptions!$B$26/1024))*Assumptions!$B$37-(($A15*Assumptions!$B$23/1024)*Assumptions!$B$31+($A15*Assumptions!$B$24/1024)*Assumptions!$B$32)*E$7</f>
        <v/>
      </c>
      <c r="F15" s="27">
        <f>(Assumptions!$B$6*(1-Assumptions!$B$41-Assumptions!$B$43)-Assumptions!$B$42)-(Assumptions!$B$38+Assumptions!$B$39+Assumptions!$B$44*Assumptions!$B$45)-(($A15*(Assumptions!$B$23+Assumptions!$B$24+Assumptions!$B$25)/1024)+(Assumptions!$B$29*Assumptions!$B$26/1024))*((Assumptions!$B$16+Assumptions!$B$17+Assumptions!$B$18+Assumptions!$B$19)/30.44)*Assumptions!$B$34-(($A15*(Assumptions!$B$23+Assumptions!$B$24+Assumptions!$B$25)/1024)+(Assumptions!$B$29*Assumptions!$B$26/1024))*(Assumptions!$B$21/30.44)*Assumptions!$B$36-(($A15*(Assumptions!$B$23+Assumptions!$B$24+Assumptions!$B$25)/1024)+(Assumptions!$B$29*Assumptions!$B$26/1024))*Assumptions!$B$37-(($A15*Assumptions!$B$23/1024)*Assumptions!$B$31+($A15*Assumptions!$B$24/1024)*Assumptions!$B$32)*F$7</f>
        <v/>
      </c>
      <c r="G15" s="27">
        <f>(Assumptions!$B$6*(1-Assumptions!$B$41-Assumptions!$B$43)-Assumptions!$B$42)-(Assumptions!$B$38+Assumptions!$B$39+Assumptions!$B$44*Assumptions!$B$45)-(($A15*(Assumptions!$B$23+Assumptions!$B$24+Assumptions!$B$25)/1024)+(Assumptions!$B$29*Assumptions!$B$26/1024))*((Assumptions!$B$16+Assumptions!$B$17+Assumptions!$B$18+Assumptions!$B$19)/30.44)*Assumptions!$B$34-(($A15*(Assumptions!$B$23+Assumptions!$B$24+Assumptions!$B$25)/1024)+(Assumptions!$B$29*Assumptions!$B$26/1024))*(Assumptions!$B$21/30.44)*Assumptions!$B$36-(($A15*(Assumptions!$B$23+Assumptions!$B$24+Assumptions!$B$25)/1024)+(Assumptions!$B$29*Assumptions!$B$26/1024))*Assumptions!$B$37-(($A15*Assumptions!$B$23/1024)*Assumptions!$B$31+($A15*Assumptions!$B$24/1024)*Assumptions!$B$32)*G$7</f>
        <v/>
      </c>
    </row>
    <row r="16">
      <c r="A16" s="14" t="n">
        <v>50000</v>
      </c>
      <c r="B16" s="27">
        <f>(Assumptions!$B$6*(1-Assumptions!$B$41-Assumptions!$B$43)-Assumptions!$B$42)-(Assumptions!$B$38+Assumptions!$B$39+Assumptions!$B$44*Assumptions!$B$45)-(($A16*(Assumptions!$B$23+Assumptions!$B$24+Assumptions!$B$25)/1024)+(Assumptions!$B$29*Assumptions!$B$26/1024))*((Assumptions!$B$16+Assumptions!$B$17+Assumptions!$B$18+Assumptions!$B$19)/30.44)*Assumptions!$B$34-(($A16*(Assumptions!$B$23+Assumptions!$B$24+Assumptions!$B$25)/1024)+(Assumptions!$B$29*Assumptions!$B$26/1024))*(Assumptions!$B$21/30.44)*Assumptions!$B$36-(($A16*(Assumptions!$B$23+Assumptions!$B$24+Assumptions!$B$25)/1024)+(Assumptions!$B$29*Assumptions!$B$26/1024))*Assumptions!$B$37-(($A16*Assumptions!$B$23/1024)*Assumptions!$B$31+($A16*Assumptions!$B$24/1024)*Assumptions!$B$32)*B$7</f>
        <v/>
      </c>
      <c r="C16" s="27">
        <f>(Assumptions!$B$6*(1-Assumptions!$B$41-Assumptions!$B$43)-Assumptions!$B$42)-(Assumptions!$B$38+Assumptions!$B$39+Assumptions!$B$44*Assumptions!$B$45)-(($A16*(Assumptions!$B$23+Assumptions!$B$24+Assumptions!$B$25)/1024)+(Assumptions!$B$29*Assumptions!$B$26/1024))*((Assumptions!$B$16+Assumptions!$B$17+Assumptions!$B$18+Assumptions!$B$19)/30.44)*Assumptions!$B$34-(($A16*(Assumptions!$B$23+Assumptions!$B$24+Assumptions!$B$25)/1024)+(Assumptions!$B$29*Assumptions!$B$26/1024))*(Assumptions!$B$21/30.44)*Assumptions!$B$36-(($A16*(Assumptions!$B$23+Assumptions!$B$24+Assumptions!$B$25)/1024)+(Assumptions!$B$29*Assumptions!$B$26/1024))*Assumptions!$B$37-(($A16*Assumptions!$B$23/1024)*Assumptions!$B$31+($A16*Assumptions!$B$24/1024)*Assumptions!$B$32)*C$7</f>
        <v/>
      </c>
      <c r="D16" s="27">
        <f>(Assumptions!$B$6*(1-Assumptions!$B$41-Assumptions!$B$43)-Assumptions!$B$42)-(Assumptions!$B$38+Assumptions!$B$39+Assumptions!$B$44*Assumptions!$B$45)-(($A16*(Assumptions!$B$23+Assumptions!$B$24+Assumptions!$B$25)/1024)+(Assumptions!$B$29*Assumptions!$B$26/1024))*((Assumptions!$B$16+Assumptions!$B$17+Assumptions!$B$18+Assumptions!$B$19)/30.44)*Assumptions!$B$34-(($A16*(Assumptions!$B$23+Assumptions!$B$24+Assumptions!$B$25)/1024)+(Assumptions!$B$29*Assumptions!$B$26/1024))*(Assumptions!$B$21/30.44)*Assumptions!$B$36-(($A16*(Assumptions!$B$23+Assumptions!$B$24+Assumptions!$B$25)/1024)+(Assumptions!$B$29*Assumptions!$B$26/1024))*Assumptions!$B$37-(($A16*Assumptions!$B$23/1024)*Assumptions!$B$31+($A16*Assumptions!$B$24/1024)*Assumptions!$B$32)*D$7</f>
        <v/>
      </c>
      <c r="E16" s="27">
        <f>(Assumptions!$B$6*(1-Assumptions!$B$41-Assumptions!$B$43)-Assumptions!$B$42)-(Assumptions!$B$38+Assumptions!$B$39+Assumptions!$B$44*Assumptions!$B$45)-(($A16*(Assumptions!$B$23+Assumptions!$B$24+Assumptions!$B$25)/1024)+(Assumptions!$B$29*Assumptions!$B$26/1024))*((Assumptions!$B$16+Assumptions!$B$17+Assumptions!$B$18+Assumptions!$B$19)/30.44)*Assumptions!$B$34-(($A16*(Assumptions!$B$23+Assumptions!$B$24+Assumptions!$B$25)/1024)+(Assumptions!$B$29*Assumptions!$B$26/1024))*(Assumptions!$B$21/30.44)*Assumptions!$B$36-(($A16*(Assumptions!$B$23+Assumptions!$B$24+Assumptions!$B$25)/1024)+(Assumptions!$B$29*Assumptions!$B$26/1024))*Assumptions!$B$37-(($A16*Assumptions!$B$23/1024)*Assumptions!$B$31+($A16*Assumptions!$B$24/1024)*Assumptions!$B$32)*E$7</f>
        <v/>
      </c>
      <c r="F16" s="27">
        <f>(Assumptions!$B$6*(1-Assumptions!$B$41-Assumptions!$B$43)-Assumptions!$B$42)-(Assumptions!$B$38+Assumptions!$B$39+Assumptions!$B$44*Assumptions!$B$45)-(($A16*(Assumptions!$B$23+Assumptions!$B$24+Assumptions!$B$25)/1024)+(Assumptions!$B$29*Assumptions!$B$26/1024))*((Assumptions!$B$16+Assumptions!$B$17+Assumptions!$B$18+Assumptions!$B$19)/30.44)*Assumptions!$B$34-(($A16*(Assumptions!$B$23+Assumptions!$B$24+Assumptions!$B$25)/1024)+(Assumptions!$B$29*Assumptions!$B$26/1024))*(Assumptions!$B$21/30.44)*Assumptions!$B$36-(($A16*(Assumptions!$B$23+Assumptions!$B$24+Assumptions!$B$25)/1024)+(Assumptions!$B$29*Assumptions!$B$26/1024))*Assumptions!$B$37-(($A16*Assumptions!$B$23/1024)*Assumptions!$B$31+($A16*Assumptions!$B$24/1024)*Assumptions!$B$32)*F$7</f>
        <v/>
      </c>
      <c r="G16" s="27">
        <f>(Assumptions!$B$6*(1-Assumptions!$B$41-Assumptions!$B$43)-Assumptions!$B$42)-(Assumptions!$B$38+Assumptions!$B$39+Assumptions!$B$44*Assumptions!$B$45)-(($A16*(Assumptions!$B$23+Assumptions!$B$24+Assumptions!$B$25)/1024)+(Assumptions!$B$29*Assumptions!$B$26/1024))*((Assumptions!$B$16+Assumptions!$B$17+Assumptions!$B$18+Assumptions!$B$19)/30.44)*Assumptions!$B$34-(($A16*(Assumptions!$B$23+Assumptions!$B$24+Assumptions!$B$25)/1024)+(Assumptions!$B$29*Assumptions!$B$26/1024))*(Assumptions!$B$21/30.44)*Assumptions!$B$36-(($A16*(Assumptions!$B$23+Assumptions!$B$24+Assumptions!$B$25)/1024)+(Assumptions!$B$29*Assumptions!$B$26/1024))*Assumptions!$B$37-(($A16*Assumptions!$B$23/1024)*Assumptions!$B$31+($A16*Assumptions!$B$24/1024)*Assumptions!$B$32)*G$7</f>
        <v/>
      </c>
    </row>
    <row r="17"/>
    <row r="18">
      <c r="A18" s="25" t="inlineStr">
        <is>
          <t>Break-even photo count, at today's zero egress</t>
        </is>
      </c>
      <c r="B18" s="34">
        <f>((Assumptions!$B$6*(1-Assumptions!$B$41-Assumptions!$B$43)-Assumptions!$B$42)-(Assumptions!$B$38+Assumptions!$B$39+Assumptions!$B$44*Assumptions!$B$45)-(Assumptions!$B$29*Assumptions!$B$26/1024)*(((Assumptions!$B$16+Assumptions!$B$17+Assumptions!$B$18+Assumptions!$B$19)/30.44)*Assumptions!$B$34+(Assumptions!$B$21/30.44)*Assumptions!$B$36+Assumptions!$B$37))/(((Assumptions!$B$23+Assumptions!$B$24+Assumptions!$B$25)/1024)*(((Assumptions!$B$16+Assumptions!$B$17+Assumptions!$B$18+Assumptions!$B$19)/30.44)*Assumptions!$B$34+(Assumptions!$B$21/30.44)*Assumptions!$B$36+Assumptions!$B$37))</f>
        <v/>
      </c>
    </row>
    <row r="19"/>
    <row r="20">
      <c r="A20" s="31" t="inlineStr">
        <is>
          <t>Compare that against the fair-use thresholds</t>
        </is>
      </c>
    </row>
    <row r="21">
      <c r="A21" s="12" t="inlineStr">
        <is>
          <t>Fair use: review threshold</t>
        </is>
      </c>
      <c r="B21" s="14" t="n">
        <v>5000</v>
      </c>
      <c r="C21" s="8" t="inlineStr">
        <is>
          <t>photoReviewThreshold. Flags for a look; blocks nothing. Unchanged</t>
        </is>
      </c>
    </row>
    <row r="22">
      <c r="A22" s="12" t="inlineStr">
        <is>
          <t>Fair use: abuse threshold</t>
        </is>
      </c>
      <c r="B22" s="14" t="n">
        <v>36800</v>
      </c>
      <c r="C22" s="8" t="inlineStr">
        <is>
          <t>photoAbuseThreshold, now derived from break-even in lib/fairUse.ts</t>
        </is>
      </c>
    </row>
    <row r="23">
      <c r="A23" s="25" t="inlineStr">
        <is>
          <t>Abuse threshold as a multiple of break-even</t>
        </is>
      </c>
      <c r="B23" s="35">
        <f>IFERROR(B22/B18,0)</f>
        <v/>
      </c>
      <c r="C23" s="8" t="inlineStr">
        <is>
          <t>Above 1.0x, an event can lose money for a long time before anything stops it</t>
        </is>
      </c>
    </row>
    <row r="24"/>
    <row r="25">
      <c r="A25" s="31" t="inlineStr">
        <is>
          <t>How to read it</t>
        </is>
      </c>
    </row>
    <row r="26">
      <c r="A26" s="8" t="inlineStr">
        <is>
          <t>Blue cells are inputs. Column A is the photo count; row 7 is the egress rate each column uses.</t>
        </is>
      </c>
    </row>
    <row r="27">
      <c r="A27" s="8" t="inlineStr">
        <is>
          <t>Red is a loss on that event. Green is $40+ of margin.</t>
        </is>
      </c>
    </row>
    <row r="28">
      <c r="A28" s="8" t="inlineStr"/>
    </row>
    <row r="29">
      <c r="A29" s="8" t="inlineStr">
        <is>
          <t>The first column is reality today, and it is the flattest: R2 charges nothing for egress, so a wildly</t>
        </is>
      </c>
    </row>
    <row r="30">
      <c r="A30" s="8" t="inlineStr">
        <is>
          <t>popular event costs almost exactly what a quiet one of the same size costs. That is the entire return on</t>
        </is>
      </c>
    </row>
    <row r="31">
      <c r="A31" s="8" t="inlineStr">
        <is>
          <t>the hybrid architecture (docs/r2-hybrid.md) and it is why unlimited photos was safe to promise at all.</t>
        </is>
      </c>
    </row>
    <row r="32">
      <c r="A32" s="8" t="inlineStr"/>
    </row>
    <row r="33">
      <c r="A33" s="8" t="inlineStr">
        <is>
          <t>The right-hand columns are the exposure. If R2 ever priced egress at S3 parity, the sums stop working at a</t>
        </is>
      </c>
    </row>
    <row r="34">
      <c r="A34" s="8" t="inlineStr">
        <is>
          <t>far smaller event, and the plan would have to change rather than the thresholds. That is a business risk</t>
        </is>
      </c>
    </row>
    <row r="35">
      <c r="A35" s="8" t="inlineStr">
        <is>
          <t>worth knowing the size of, not a reason to act today.</t>
        </is>
      </c>
    </row>
    <row r="36">
      <c r="A36" s="8" t="inlineStr"/>
    </row>
    <row r="37">
      <c r="A37" s="8" t="inlineStr">
        <is>
          <t>What actually bites first is storage, and most of that is the DUPLICATE S3 copy rather than the copy being</t>
        </is>
      </c>
    </row>
    <row r="38">
      <c r="A38" s="8" t="inlineStr">
        <is>
          <t>served. See "Dual storage" on the Unit economics sheet.</t>
        </is>
      </c>
    </row>
    <row r="39"/>
  </sheetData>
  <conditionalFormatting sqref="B8:G16">
    <cfRule type="cellIs" priority="1" operator="lessThan" dxfId="0">
      <formula>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70" customWidth="1" min="3" max="3"/>
  </cols>
  <sheetData>
    <row r="1">
      <c r="A1" s="7" t="inlineStr">
        <is>
          <t>Blended margin per paid event</t>
        </is>
      </c>
    </row>
    <row r="2">
      <c r="A2" s="8" t="inlineStr">
        <is>
          <t>Free events cost real money and produce none. The honest figure is margin per SALE, after carrying them.</t>
        </is>
      </c>
    </row>
    <row r="4">
      <c r="A4" s="9" t="inlineStr"/>
      <c r="B4" s="9" t="inlineStr">
        <is>
          <t>Value</t>
        </is>
      </c>
      <c r="C4" s="9" t="inlineStr">
        <is>
          <t>Note</t>
        </is>
      </c>
    </row>
    <row r="5">
      <c r="A5" s="12" t="inlineStr">
        <is>
          <t>Gross margin, one paid event</t>
        </is>
      </c>
      <c r="B5" s="36">
        <f>'Unit economics'!B37</f>
        <v/>
      </c>
      <c r="C5" s="8" t="inlineStr">
        <is>
          <t>From Unit economics, at the central case</t>
        </is>
      </c>
    </row>
    <row r="6">
      <c r="A6" s="12" t="inlineStr">
        <is>
          <t>Free events carried per paid event</t>
        </is>
      </c>
      <c r="B6" s="24">
        <f>Assumptions!$B$46</f>
        <v/>
      </c>
      <c r="C6" s="8" t="inlineStr">
        <is>
          <t>The lever that matters most on this sheet, and the one with the least evidence behind it</t>
        </is>
      </c>
    </row>
    <row r="7">
      <c r="A7" s="12" t="inlineStr">
        <is>
          <t>Cost of those free events</t>
        </is>
      </c>
      <c r="B7" s="27">
        <f>-B6*'Unit economics'!C34</f>
        <v/>
      </c>
    </row>
    <row r="8">
      <c r="A8" s="25" t="inlineStr">
        <is>
          <t>Blended margin per paid event</t>
        </is>
      </c>
      <c r="B8" s="28">
        <f>B5+B7</f>
        <v/>
      </c>
    </row>
    <row r="9">
      <c r="A9" s="25" t="inlineStr">
        <is>
          <t>Blended margin %</t>
        </is>
      </c>
      <c r="B9" s="29">
        <f>IFERROR(B8/'Unit economics'!B24,0)</f>
        <v/>
      </c>
    </row>
    <row r="11">
      <c r="A11" s="25" t="inlineStr">
        <is>
          <t>Free events a sale can carry before margin hits zero</t>
        </is>
      </c>
      <c r="B11" s="26">
        <f>IFERROR(B5/'Unit economics'!C34,0)</f>
        <v/>
      </c>
      <c r="C11" s="8" t="inlineStr">
        <is>
          <t>If the real free-to-paid ratio is worse than this, the free tier is not a funnel, it is a subsidy</t>
        </is>
      </c>
    </row>
    <row r="13">
      <c r="A13" s="31" t="inlineStr">
        <is>
          <t>What this does not include</t>
        </is>
      </c>
    </row>
    <row r="14">
      <c r="A14" s="8" t="inlineStr">
        <is>
          <t>No customer acquisition cost. No ad spend is tracked, so any CAC here would be invented — the monthly report</t>
        </is>
      </c>
    </row>
    <row r="15">
      <c r="A15" s="8" t="inlineStr">
        <is>
          <t>says the same thing in its "not measured" list rather than printing a zero.</t>
        </is>
      </c>
    </row>
    <row r="16">
      <c r="A16" s="8" t="inlineStr">
        <is>
          <t>No support cost. There is no ticketing system to measure it with.</t>
        </is>
      </c>
    </row>
    <row r="17">
      <c r="A17" s="8" t="inlineStr">
        <is>
          <t>No chargebacks. Stripe dispute data is not read back yet.</t>
        </is>
      </c>
    </row>
    <row r="18">
      <c r="A18" s="8" t="inlineStr">
        <is>
          <t>No repeat purchase. Every event is modelled as a one-time sale, which is the pessimistic reading and the</t>
        </is>
      </c>
    </row>
    <row r="19">
      <c r="A19" s="8" t="inlineStr">
        <is>
          <t>right default until there is evidence of repeats.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2026-09-08T02:08:56Z</dcterms:created>
  <dcterms:modified xsi:type="dcterms:W3CDTF">2026-09-08T02:44:01Z</dcterms:modified>
</cp:coreProperties>
</file>